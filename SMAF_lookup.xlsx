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ges_biru_ufl_edu/Documents/UFL/Research_Work/ETH SHAPE/Rerun for App/SMAF/"/>
    </mc:Choice>
  </mc:AlternateContent>
  <xr:revisionPtr revIDLastSave="12" documentId="11_95635A838F67E66DF7088085E56DEBB51F12BD57" xr6:coauthVersionLast="47" xr6:coauthVersionMax="47" xr10:uidLastSave="{7695E8D5-A9C0-46AC-A794-E28E05005812}"/>
  <bookViews>
    <workbookView xWindow="28680" yWindow="-120" windowWidth="16440" windowHeight="28320" tabRatio="500" xr2:uid="{00000000-000D-0000-FFFF-FFFF00000000}"/>
  </bookViews>
  <sheets>
    <sheet name="crop_factors" sheetId="1" r:id="rId1"/>
    <sheet name="method_factors" sheetId="2" r:id="rId2"/>
    <sheet name="weathering_classes" sheetId="3" r:id="rId3"/>
    <sheet name="om_factors" sheetId="4" r:id="rId4"/>
    <sheet name="texture_factors" sheetId="5" r:id="rId5"/>
    <sheet name="slope_factors" sheetId="6" r:id="rId6"/>
    <sheet name="constants" sheetId="7" r:id="rId7"/>
    <sheet name="bd_texture_factors" sheetId="8" r:id="rId8"/>
    <sheet name="bd_mineralogy_factors" sheetId="9" r:id="rId9"/>
    <sheet name="bd_constants" sheetId="10" r:id="rId10"/>
    <sheet name="exk_texture_params" sheetId="11" r:id="rId11"/>
    <sheet name="exk_constan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07" i="1" l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<sst xmlns="http://schemas.openxmlformats.org/spreadsheetml/2006/main" count="212" uniqueCount="191">
  <si>
    <t>crop_code</t>
  </si>
  <si>
    <t>crop_name</t>
  </si>
  <si>
    <t>popt</t>
  </si>
  <si>
    <t>pmax</t>
  </si>
  <si>
    <t>b1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</si>
  <si>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</si>
  <si>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</si>
  <si>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</si>
  <si>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</si>
  <si>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</si>
  <si>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</si>
  <si>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</si>
  <si>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</si>
  <si>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</si>
  <si>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</si>
  <si>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</si>
  <si>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</si>
  <si>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</si>
  <si>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</si>
  <si>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</si>
  <si>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</si>
  <si>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</si>
  <si>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</si>
  <si>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</si>
  <si>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</si>
  <si>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</si>
  <si>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</si>
  <si>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cauliflower</t>
  </si>
  <si>
    <t>celery</t>
  </si>
  <si>
    <t>cherries</t>
  </si>
  <si>
    <t>clover, berseem</t>
  </si>
  <si>
    <t>clover, red, alsike, ladino, strawberry</t>
  </si>
  <si>
    <t>clover, white</t>
  </si>
  <si>
    <t>coffee</t>
  </si>
  <si>
    <t>corn, sweet</t>
  </si>
  <si>
    <t>corn, pop</t>
  </si>
  <si>
    <t>corn, grain</t>
  </si>
  <si>
    <t>cotton</t>
  </si>
  <si>
    <t>cowpea</t>
  </si>
  <si>
    <t>cranberries</t>
  </si>
  <si>
    <t>cucumber</t>
  </si>
  <si>
    <t>date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</si>
  <si>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</si>
  <si>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</si>
  <si>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</si>
  <si>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</si>
  <si>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</si>
  <si>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</si>
  <si>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</si>
  <si>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</si>
  <si>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</si>
  <si>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</si>
  <si>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</si>
  <si>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</si>
  <si>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</si>
  <si>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</si>
  <si>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</si>
  <si>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</si>
  <si>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</si>
  <si>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</si>
  <si>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</si>
  <si>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</si>
  <si>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</si>
  <si>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</si>
  <si>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</si>
  <si>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</si>
  <si>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</si>
  <si>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</si>
  <si>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</si>
  <si>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</si>
  <si>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</si>
  <si>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</si>
  <si>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</si>
  <si>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</si>
  <si>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</si>
  <si>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</si>
  <si>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</si>
  <si>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</si>
  <si>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</si>
  <si>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</si>
  <si>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</si>
  <si>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</si>
  <si>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</si>
  <si>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</si>
  <si>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 x sudan grass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</si>
  <si>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</si>
  <si>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</si>
  <si>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</si>
  <si>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</si>
  <si>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</si>
  <si>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</si>
  <si>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</si>
  <si>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</si>
  <si>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</si>
  <si>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</si>
  <si>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timothy</t>
  </si>
  <si>
    <t>tobacco</t>
  </si>
  <si>
    <t>tomato</t>
  </si>
  <si>
    <t>triticale</t>
  </si>
  <si>
    <t>turnip</t>
  </si>
  <si>
    <t>vetch, common or hairy</t>
  </si>
  <si>
    <t>walnut</t>
  </si>
  <si>
    <t>watermelon</t>
  </si>
  <si>
    <t>wheat, durum</t>
  </si>
  <si>
    <t>wheat, spring</t>
  </si>
  <si>
    <t>winter wheat</t>
  </si>
  <si>
    <t>zucchini</t>
  </si>
  <si>
    <t>pine, longleaf</t>
  </si>
  <si>
    <t>oak, southern red</t>
  </si>
  <si>
    <t>hickory</t>
  </si>
  <si>
    <t>oak, white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</si>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</sst>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9"/>
      <color rgb="FF1F4E5F"/>
      <name val="Arial"/>
      <charset val="1"/>
    </font>
    <font>
      <b/>
      <sz val="9"/>
      <color rgb="FF5A3E85"/>
      <name val="Arial"/>
      <charset val="1"/>
    </font>
    <font>
      <b/>
      <sz val="9"/>
      <color rgb="FF1E6B52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0"/>
  <sheetViews>
    <sheetView tabSelected="1" zoomScaleNormal="100" workbookViewId="0">
      <pane ySplit="1" topLeftCell="A50" activePane="bottomLeft" state="frozen"/>
      <selection pane="bottomLeft" activeCell="G47" sqref="G47"/>
    </sheetView>
  </sheetViews>
  <sheetFormatPr defaultColWidth="8.7109375" defaultRowHeight="15" x14ac:dyDescent="0.25"/>
  <cols>
    <col min="1" max="1" width="11" customWidth="1"/>
    <col min="2" max="2" width="42" customWidth="1"/>
    <col min="3" max="4" width="8" customWidth="1"/>
    <col min="5" max="5" width="12" customWidth="1"/>
  </cols>
  <sheetData>
    <row r="1" spans="1:5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" customHeight="1" x14ac:dyDescent="0.25">
      <c r="A2" s="2">
        <v>1</v>
      </c>
      <c r="B2" s="3" t="s">
        <v>5</v>
      </c>
      <c r="C2" s="3">
        <v>23</v>
      </c>
      <c r="D2" s="3">
        <v>29</v>
      </c>
      <c r="E2" s="3">
        <f t="shared" ref="E2:E33" si="0">213.96744-39.579185*C2+2.3020512*C2^2</f>
        <v>521.4312698</v>
      </c>
    </row>
    <row r="3" spans="1:5" ht="15" customHeight="1" x14ac:dyDescent="0.25">
      <c r="A3" s="2">
        <v>2</v>
      </c>
      <c r="B3" s="3" t="s">
        <v>6</v>
      </c>
      <c r="C3" s="3">
        <v>19</v>
      </c>
      <c r="D3" s="3">
        <v>25</v>
      </c>
      <c r="E3" s="3">
        <f t="shared" si="0"/>
        <v>293.00340819999997</v>
      </c>
    </row>
    <row r="4" spans="1:5" ht="15" customHeight="1" x14ac:dyDescent="0.25">
      <c r="A4" s="2">
        <v>3</v>
      </c>
      <c r="B4" s="3" t="s">
        <v>7</v>
      </c>
      <c r="C4" s="3">
        <v>19</v>
      </c>
      <c r="D4" s="3">
        <v>25</v>
      </c>
      <c r="E4" s="3">
        <f t="shared" si="0"/>
        <v>293.00340819999997</v>
      </c>
    </row>
    <row r="5" spans="1:5" ht="15" customHeight="1" x14ac:dyDescent="0.25">
      <c r="A5" s="2">
        <v>4</v>
      </c>
      <c r="B5" s="3" t="s">
        <v>8</v>
      </c>
      <c r="C5" s="3">
        <v>19</v>
      </c>
      <c r="D5" s="3">
        <v>25</v>
      </c>
      <c r="E5" s="3">
        <f t="shared" si="0"/>
        <v>293.00340819999997</v>
      </c>
    </row>
    <row r="6" spans="1:5" ht="15" customHeight="1" x14ac:dyDescent="0.25">
      <c r="A6" s="2">
        <v>5</v>
      </c>
      <c r="B6" s="3" t="s">
        <v>9</v>
      </c>
      <c r="C6" s="3">
        <v>19</v>
      </c>
      <c r="D6" s="3">
        <v>25</v>
      </c>
      <c r="E6" s="3">
        <f t="shared" si="0"/>
        <v>293.00340819999997</v>
      </c>
    </row>
    <row r="7" spans="1:5" ht="15" customHeight="1" x14ac:dyDescent="0.25">
      <c r="A7" s="2">
        <v>6</v>
      </c>
      <c r="B7" s="3" t="s">
        <v>10</v>
      </c>
      <c r="C7" s="3">
        <v>19</v>
      </c>
      <c r="D7" s="3">
        <v>25</v>
      </c>
      <c r="E7" s="3">
        <f t="shared" si="0"/>
        <v>293.00340819999997</v>
      </c>
    </row>
    <row r="8" spans="1:5" ht="15" customHeight="1" x14ac:dyDescent="0.25">
      <c r="A8" s="2">
        <v>7</v>
      </c>
      <c r="B8" s="3" t="s">
        <v>11</v>
      </c>
      <c r="C8" s="3">
        <v>19</v>
      </c>
      <c r="D8" s="3">
        <v>25</v>
      </c>
      <c r="E8" s="3">
        <f t="shared" si="0"/>
        <v>293.00340819999997</v>
      </c>
    </row>
    <row r="9" spans="1:5" ht="15" customHeight="1" x14ac:dyDescent="0.25">
      <c r="A9" s="2">
        <v>8</v>
      </c>
      <c r="B9" s="3" t="s">
        <v>12</v>
      </c>
      <c r="C9" s="3">
        <v>19</v>
      </c>
      <c r="D9" s="3">
        <v>25</v>
      </c>
      <c r="E9" s="3">
        <f t="shared" si="0"/>
        <v>293.00340819999997</v>
      </c>
    </row>
    <row r="10" spans="1:5" ht="15" customHeight="1" x14ac:dyDescent="0.25">
      <c r="A10" s="2">
        <v>9</v>
      </c>
      <c r="B10" s="3" t="s">
        <v>13</v>
      </c>
      <c r="C10" s="3">
        <v>20</v>
      </c>
      <c r="D10" s="3">
        <v>26</v>
      </c>
      <c r="E10" s="3">
        <f t="shared" si="0"/>
        <v>343.20422000000008</v>
      </c>
    </row>
    <row r="11" spans="1:5" ht="15" customHeight="1" x14ac:dyDescent="0.25">
      <c r="A11" s="2">
        <v>10</v>
      </c>
      <c r="B11" s="3" t="s">
        <v>14</v>
      </c>
      <c r="C11" s="3">
        <v>19</v>
      </c>
      <c r="D11" s="3">
        <v>25</v>
      </c>
      <c r="E11" s="3">
        <f t="shared" si="0"/>
        <v>293.00340819999997</v>
      </c>
    </row>
    <row r="12" spans="1:5" ht="15" customHeight="1" x14ac:dyDescent="0.25">
      <c r="A12" s="2">
        <v>11</v>
      </c>
      <c r="B12" s="3" t="s">
        <v>15</v>
      </c>
      <c r="C12" s="3">
        <v>19</v>
      </c>
      <c r="D12" s="3">
        <v>25</v>
      </c>
      <c r="E12" s="3">
        <f t="shared" si="0"/>
        <v>293.00340819999997</v>
      </c>
    </row>
    <row r="13" spans="1:5" ht="15" customHeight="1" x14ac:dyDescent="0.25">
      <c r="A13" s="2">
        <v>12</v>
      </c>
      <c r="B13" s="3" t="s">
        <v>16</v>
      </c>
      <c r="C13" s="3">
        <v>19</v>
      </c>
      <c r="D13" s="3">
        <v>25</v>
      </c>
      <c r="E13" s="3">
        <f t="shared" si="0"/>
        <v>293.00340819999997</v>
      </c>
    </row>
    <row r="14" spans="1:5" ht="15" customHeight="1" x14ac:dyDescent="0.25">
      <c r="A14" s="2">
        <v>13</v>
      </c>
      <c r="B14" s="3" t="s">
        <v>17</v>
      </c>
      <c r="C14" s="3">
        <v>19</v>
      </c>
      <c r="D14" s="3">
        <v>25</v>
      </c>
      <c r="E14" s="3">
        <f t="shared" si="0"/>
        <v>293.00340819999997</v>
      </c>
    </row>
    <row r="15" spans="1:5" ht="15" customHeight="1" x14ac:dyDescent="0.25">
      <c r="A15" s="2">
        <v>14</v>
      </c>
      <c r="B15" s="3" t="s">
        <v>18</v>
      </c>
      <c r="C15" s="3">
        <v>19</v>
      </c>
      <c r="D15" s="3">
        <v>6</v>
      </c>
      <c r="E15" s="3">
        <f t="shared" si="0"/>
        <v>293.00340819999997</v>
      </c>
    </row>
    <row r="16" spans="1:5" ht="15" customHeight="1" x14ac:dyDescent="0.25">
      <c r="A16" s="2">
        <v>15</v>
      </c>
      <c r="B16" s="3" t="s">
        <v>19</v>
      </c>
      <c r="C16" s="3">
        <v>12</v>
      </c>
      <c r="D16" s="3">
        <v>18</v>
      </c>
      <c r="E16" s="3">
        <f t="shared" si="0"/>
        <v>70.512592799999993</v>
      </c>
    </row>
    <row r="17" spans="1:5" ht="15" customHeight="1" x14ac:dyDescent="0.25">
      <c r="A17" s="2">
        <v>16</v>
      </c>
      <c r="B17" s="3" t="s">
        <v>20</v>
      </c>
      <c r="C17" s="3">
        <v>12</v>
      </c>
      <c r="D17" s="3">
        <v>18</v>
      </c>
      <c r="E17" s="3">
        <f t="shared" si="0"/>
        <v>70.512592799999993</v>
      </c>
    </row>
    <row r="18" spans="1:5" ht="15" customHeight="1" x14ac:dyDescent="0.25">
      <c r="A18" s="2">
        <v>17</v>
      </c>
      <c r="B18" s="3" t="s">
        <v>21</v>
      </c>
      <c r="C18" s="3">
        <v>19</v>
      </c>
      <c r="D18" s="3">
        <v>25</v>
      </c>
      <c r="E18" s="3">
        <f t="shared" si="0"/>
        <v>293.00340819999997</v>
      </c>
    </row>
    <row r="19" spans="1:5" ht="15" customHeight="1" x14ac:dyDescent="0.25">
      <c r="A19" s="2">
        <v>18</v>
      </c>
      <c r="B19" s="3" t="s">
        <v>22</v>
      </c>
      <c r="C19" s="3">
        <v>19</v>
      </c>
      <c r="D19" s="3">
        <v>25</v>
      </c>
      <c r="E19" s="3">
        <f t="shared" si="0"/>
        <v>293.00340819999997</v>
      </c>
    </row>
    <row r="20" spans="1:5" ht="15" customHeight="1" x14ac:dyDescent="0.25">
      <c r="A20" s="2">
        <v>19</v>
      </c>
      <c r="B20" s="3" t="s">
        <v>23</v>
      </c>
      <c r="C20" s="3">
        <v>19</v>
      </c>
      <c r="D20" s="3">
        <v>25</v>
      </c>
      <c r="E20" s="3">
        <f t="shared" si="0"/>
        <v>293.00340819999997</v>
      </c>
    </row>
    <row r="21" spans="1:5" ht="15" customHeight="1" x14ac:dyDescent="0.25">
      <c r="A21" s="2">
        <v>20</v>
      </c>
      <c r="B21" s="3" t="s">
        <v>24</v>
      </c>
      <c r="C21" s="3">
        <v>19</v>
      </c>
      <c r="D21" s="3">
        <v>25</v>
      </c>
      <c r="E21" s="3">
        <f t="shared" si="0"/>
        <v>293.00340819999997</v>
      </c>
    </row>
    <row r="22" spans="1:5" ht="15" customHeight="1" x14ac:dyDescent="0.25">
      <c r="A22" s="2">
        <v>21</v>
      </c>
      <c r="B22" s="3" t="s">
        <v>25</v>
      </c>
      <c r="C22" s="3">
        <v>19</v>
      </c>
      <c r="D22" s="3">
        <v>25</v>
      </c>
      <c r="E22" s="3">
        <f t="shared" si="0"/>
        <v>293.00340819999997</v>
      </c>
    </row>
    <row r="23" spans="1:5" ht="15" customHeight="1" x14ac:dyDescent="0.25">
      <c r="A23" s="2">
        <v>22</v>
      </c>
      <c r="B23" s="3" t="s">
        <v>26</v>
      </c>
      <c r="C23" s="3">
        <v>19</v>
      </c>
      <c r="D23" s="3">
        <v>25</v>
      </c>
      <c r="E23" s="3">
        <f t="shared" si="0"/>
        <v>293.00340819999997</v>
      </c>
    </row>
    <row r="24" spans="1:5" ht="15" customHeight="1" x14ac:dyDescent="0.25">
      <c r="A24" s="2">
        <v>23</v>
      </c>
      <c r="B24" s="3" t="s">
        <v>27</v>
      </c>
      <c r="C24" s="3">
        <v>19</v>
      </c>
      <c r="D24" s="3">
        <v>25</v>
      </c>
      <c r="E24" s="3">
        <f t="shared" si="0"/>
        <v>293.00340819999997</v>
      </c>
    </row>
    <row r="25" spans="1:5" ht="15" customHeight="1" x14ac:dyDescent="0.25">
      <c r="A25" s="2">
        <v>24</v>
      </c>
      <c r="B25" s="3" t="s">
        <v>28</v>
      </c>
      <c r="C25" s="3">
        <v>19</v>
      </c>
      <c r="D25" s="3">
        <v>25</v>
      </c>
      <c r="E25" s="3">
        <f t="shared" si="0"/>
        <v>293.00340819999997</v>
      </c>
    </row>
    <row r="26" spans="1:5" ht="15" customHeight="1" x14ac:dyDescent="0.25">
      <c r="A26" s="2">
        <v>25</v>
      </c>
      <c r="B26" s="3" t="s">
        <v>29</v>
      </c>
      <c r="C26" s="3">
        <v>19</v>
      </c>
      <c r="D26" s="3">
        <v>25</v>
      </c>
      <c r="E26" s="3">
        <f t="shared" si="0"/>
        <v>293.00340819999997</v>
      </c>
    </row>
    <row r="27" spans="1:5" ht="15" customHeight="1" x14ac:dyDescent="0.25">
      <c r="A27" s="2">
        <v>26</v>
      </c>
      <c r="B27" s="3" t="s">
        <v>30</v>
      </c>
      <c r="C27" s="3">
        <v>19</v>
      </c>
      <c r="D27" s="3">
        <v>25</v>
      </c>
      <c r="E27" s="3">
        <f t="shared" si="0"/>
        <v>293.00340819999997</v>
      </c>
    </row>
    <row r="28" spans="1:5" ht="15" customHeight="1" x14ac:dyDescent="0.25">
      <c r="A28" s="2">
        <v>27</v>
      </c>
      <c r="B28" s="3" t="s">
        <v>31</v>
      </c>
      <c r="C28" s="3">
        <v>20</v>
      </c>
      <c r="D28" s="3">
        <v>26</v>
      </c>
      <c r="E28" s="3">
        <f t="shared" si="0"/>
        <v>343.20422000000008</v>
      </c>
    </row>
    <row r="29" spans="1:5" ht="15" customHeight="1" x14ac:dyDescent="0.25">
      <c r="A29" s="2">
        <v>28</v>
      </c>
      <c r="B29" s="3" t="s">
        <v>32</v>
      </c>
      <c r="C29" s="3">
        <v>22</v>
      </c>
      <c r="D29" s="3">
        <v>28</v>
      </c>
      <c r="E29" s="3">
        <f t="shared" si="0"/>
        <v>457.41815080000003</v>
      </c>
    </row>
    <row r="30" spans="1:5" ht="15" customHeight="1" x14ac:dyDescent="0.25">
      <c r="A30" s="2">
        <v>29</v>
      </c>
      <c r="B30" s="3" t="s">
        <v>33</v>
      </c>
      <c r="C30" s="3">
        <v>19</v>
      </c>
      <c r="D30" s="3">
        <v>25</v>
      </c>
      <c r="E30" s="3">
        <f t="shared" si="0"/>
        <v>293.00340819999997</v>
      </c>
    </row>
    <row r="31" spans="1:5" ht="15" customHeight="1" x14ac:dyDescent="0.25">
      <c r="A31" s="2">
        <v>30</v>
      </c>
      <c r="B31" s="3" t="s">
        <v>34</v>
      </c>
      <c r="C31" s="3">
        <v>16</v>
      </c>
      <c r="D31" s="3">
        <v>22</v>
      </c>
      <c r="E31" s="3">
        <f t="shared" si="0"/>
        <v>170.02558720000002</v>
      </c>
    </row>
    <row r="32" spans="1:5" ht="15" customHeight="1" x14ac:dyDescent="0.25">
      <c r="A32" s="2">
        <v>31</v>
      </c>
      <c r="B32" s="3" t="s">
        <v>35</v>
      </c>
      <c r="C32" s="3">
        <v>19</v>
      </c>
      <c r="D32" s="3">
        <v>25</v>
      </c>
      <c r="E32" s="3">
        <f t="shared" si="0"/>
        <v>293.00340819999997</v>
      </c>
    </row>
    <row r="33" spans="1:5" ht="15" customHeight="1" x14ac:dyDescent="0.25">
      <c r="A33" s="2">
        <v>32</v>
      </c>
      <c r="B33" s="3" t="s">
        <v>36</v>
      </c>
      <c r="C33" s="3">
        <v>19</v>
      </c>
      <c r="D33" s="3">
        <v>25</v>
      </c>
      <c r="E33" s="3">
        <f t="shared" si="0"/>
        <v>293.00340819999997</v>
      </c>
    </row>
    <row r="34" spans="1:5" ht="15" customHeight="1" x14ac:dyDescent="0.25">
      <c r="A34" s="2">
        <v>33</v>
      </c>
      <c r="B34" s="3" t="s">
        <v>37</v>
      </c>
      <c r="C34" s="3">
        <v>19</v>
      </c>
      <c r="D34" s="3">
        <v>25</v>
      </c>
      <c r="E34" s="3">
        <f t="shared" ref="E34:E65" si="1">213.96744-39.579185*C34+2.3020512*C34^2</f>
        <v>293.00340819999997</v>
      </c>
    </row>
    <row r="35" spans="1:5" ht="15" customHeight="1" x14ac:dyDescent="0.25">
      <c r="A35" s="2">
        <v>34</v>
      </c>
      <c r="B35" s="3" t="s">
        <v>38</v>
      </c>
      <c r="C35" s="3">
        <v>19</v>
      </c>
      <c r="D35" s="3">
        <v>25</v>
      </c>
      <c r="E35" s="3">
        <f t="shared" si="1"/>
        <v>293.00340819999997</v>
      </c>
    </row>
    <row r="36" spans="1:5" ht="15" customHeight="1" x14ac:dyDescent="0.25">
      <c r="A36" s="2">
        <v>35</v>
      </c>
      <c r="B36" s="3" t="s">
        <v>39</v>
      </c>
      <c r="C36" s="3">
        <v>19</v>
      </c>
      <c r="D36" s="3">
        <v>25</v>
      </c>
      <c r="E36" s="3">
        <f t="shared" si="1"/>
        <v>293.00340819999997</v>
      </c>
    </row>
    <row r="37" spans="1:5" ht="15" customHeight="1" x14ac:dyDescent="0.25">
      <c r="A37" s="2">
        <v>36</v>
      </c>
      <c r="B37" s="3" t="s">
        <v>40</v>
      </c>
      <c r="C37" s="3">
        <v>19</v>
      </c>
      <c r="D37" s="3">
        <v>25</v>
      </c>
      <c r="E37" s="3">
        <f t="shared" si="1"/>
        <v>293.00340819999997</v>
      </c>
    </row>
    <row r="38" spans="1:5" ht="15" customHeight="1" x14ac:dyDescent="0.25">
      <c r="A38" s="2">
        <v>37</v>
      </c>
      <c r="B38" s="3" t="s">
        <v>41</v>
      </c>
      <c r="C38" s="3">
        <v>19</v>
      </c>
      <c r="D38" s="3">
        <v>25</v>
      </c>
      <c r="E38" s="3">
        <f t="shared" si="1"/>
        <v>293.00340819999997</v>
      </c>
    </row>
    <row r="39" spans="1:5" ht="15" customHeight="1" x14ac:dyDescent="0.25">
      <c r="A39" s="2">
        <v>38</v>
      </c>
      <c r="B39" s="3" t="s">
        <v>42</v>
      </c>
      <c r="C39" s="3">
        <v>19</v>
      </c>
      <c r="D39" s="3">
        <v>25</v>
      </c>
      <c r="E39" s="3">
        <f t="shared" si="1"/>
        <v>293.00340819999997</v>
      </c>
    </row>
    <row r="40" spans="1:5" ht="15" customHeight="1" x14ac:dyDescent="0.25">
      <c r="A40" s="2">
        <v>39</v>
      </c>
      <c r="B40" s="3" t="s">
        <v>43</v>
      </c>
      <c r="C40" s="3">
        <v>12</v>
      </c>
      <c r="D40" s="3">
        <v>18</v>
      </c>
      <c r="E40" s="3">
        <f t="shared" si="1"/>
        <v>70.512592799999993</v>
      </c>
    </row>
    <row r="41" spans="1:5" ht="15" customHeight="1" x14ac:dyDescent="0.25">
      <c r="A41" s="2">
        <v>40</v>
      </c>
      <c r="B41" s="3" t="s">
        <v>44</v>
      </c>
      <c r="C41" s="3">
        <v>19</v>
      </c>
      <c r="D41" s="3">
        <v>25</v>
      </c>
      <c r="E41" s="3">
        <f t="shared" si="1"/>
        <v>293.00340819999997</v>
      </c>
    </row>
    <row r="42" spans="1:5" ht="15" customHeight="1" x14ac:dyDescent="0.25">
      <c r="A42" s="2">
        <v>41</v>
      </c>
      <c r="B42" s="3" t="s">
        <v>45</v>
      </c>
      <c r="C42" s="3">
        <v>19</v>
      </c>
      <c r="D42" s="3">
        <v>25</v>
      </c>
      <c r="E42" s="3">
        <f t="shared" si="1"/>
        <v>293.00340819999997</v>
      </c>
    </row>
    <row r="43" spans="1:5" ht="15" customHeight="1" x14ac:dyDescent="0.25">
      <c r="A43" s="2">
        <v>42</v>
      </c>
      <c r="B43" s="3" t="s">
        <v>46</v>
      </c>
      <c r="C43" s="3">
        <v>19</v>
      </c>
      <c r="D43" s="3">
        <v>25</v>
      </c>
      <c r="E43" s="3">
        <f t="shared" si="1"/>
        <v>293.00340819999997</v>
      </c>
    </row>
    <row r="44" spans="1:5" ht="15" customHeight="1" x14ac:dyDescent="0.25">
      <c r="A44" s="2">
        <v>43</v>
      </c>
      <c r="B44" s="3" t="s">
        <v>47</v>
      </c>
      <c r="C44" s="3">
        <v>19</v>
      </c>
      <c r="D44" s="3">
        <v>25</v>
      </c>
      <c r="E44" s="3">
        <f t="shared" si="1"/>
        <v>293.00340819999997</v>
      </c>
    </row>
    <row r="45" spans="1:5" ht="15" customHeight="1" x14ac:dyDescent="0.25">
      <c r="A45" s="2">
        <v>44</v>
      </c>
      <c r="B45" s="3" t="s">
        <v>48</v>
      </c>
      <c r="C45" s="3">
        <v>19</v>
      </c>
      <c r="D45" s="3">
        <v>25</v>
      </c>
      <c r="E45" s="3">
        <f t="shared" si="1"/>
        <v>293.00340819999997</v>
      </c>
    </row>
    <row r="46" spans="1:5" ht="15" customHeight="1" x14ac:dyDescent="0.25">
      <c r="A46" s="2">
        <v>45</v>
      </c>
      <c r="B46" s="3" t="s">
        <v>49</v>
      </c>
      <c r="C46" s="3">
        <v>19</v>
      </c>
      <c r="D46" s="3">
        <v>25</v>
      </c>
      <c r="E46" s="3">
        <f t="shared" si="1"/>
        <v>293.00340819999997</v>
      </c>
    </row>
    <row r="47" spans="1:5" ht="15" customHeight="1" x14ac:dyDescent="0.25">
      <c r="A47" s="2">
        <v>46</v>
      </c>
      <c r="B47" s="3" t="s">
        <v>50</v>
      </c>
      <c r="C47" s="3">
        <v>19</v>
      </c>
      <c r="D47" s="3">
        <v>25</v>
      </c>
      <c r="E47" s="3">
        <f t="shared" si="1"/>
        <v>293.00340819999997</v>
      </c>
    </row>
    <row r="48" spans="1:5" ht="15" customHeight="1" x14ac:dyDescent="0.25">
      <c r="A48" s="2">
        <v>47</v>
      </c>
      <c r="B48" s="3" t="s">
        <v>51</v>
      </c>
      <c r="C48" s="3">
        <v>12</v>
      </c>
      <c r="D48" s="3">
        <v>18</v>
      </c>
      <c r="E48" s="3">
        <f t="shared" si="1"/>
        <v>70.512592799999993</v>
      </c>
    </row>
    <row r="49" spans="1:5" ht="15" customHeight="1" x14ac:dyDescent="0.25">
      <c r="A49" s="2">
        <v>48</v>
      </c>
      <c r="B49" s="3" t="s">
        <v>52</v>
      </c>
      <c r="C49" s="3">
        <v>19</v>
      </c>
      <c r="D49" s="3">
        <v>25</v>
      </c>
      <c r="E49" s="3">
        <f t="shared" si="1"/>
        <v>293.00340819999997</v>
      </c>
    </row>
    <row r="50" spans="1:5" ht="15" customHeight="1" x14ac:dyDescent="0.25">
      <c r="A50" s="2">
        <v>49</v>
      </c>
      <c r="B50" s="3" t="s">
        <v>53</v>
      </c>
      <c r="C50" s="3">
        <v>19</v>
      </c>
      <c r="D50" s="3">
        <v>25</v>
      </c>
      <c r="E50" s="3">
        <f t="shared" si="1"/>
        <v>293.00340819999997</v>
      </c>
    </row>
    <row r="51" spans="1:5" ht="15" customHeight="1" x14ac:dyDescent="0.25">
      <c r="A51" s="2">
        <v>50</v>
      </c>
      <c r="B51" s="3" t="s">
        <v>54</v>
      </c>
      <c r="C51" s="3">
        <v>19</v>
      </c>
      <c r="D51" s="3">
        <v>25</v>
      </c>
      <c r="E51" s="3">
        <f t="shared" si="1"/>
        <v>293.00340819999997</v>
      </c>
    </row>
    <row r="52" spans="1:5" ht="15" customHeight="1" x14ac:dyDescent="0.25">
      <c r="A52" s="2">
        <v>51</v>
      </c>
      <c r="B52" s="3" t="s">
        <v>55</v>
      </c>
      <c r="C52" s="3">
        <v>19</v>
      </c>
      <c r="D52" s="3">
        <v>25</v>
      </c>
      <c r="E52" s="3">
        <f t="shared" si="1"/>
        <v>293.00340819999997</v>
      </c>
    </row>
    <row r="53" spans="1:5" ht="15" customHeight="1" x14ac:dyDescent="0.25">
      <c r="A53" s="2">
        <v>52</v>
      </c>
      <c r="B53" s="3" t="s">
        <v>56</v>
      </c>
      <c r="C53" s="3">
        <v>19</v>
      </c>
      <c r="D53" s="3">
        <v>25</v>
      </c>
      <c r="E53" s="3">
        <f t="shared" si="1"/>
        <v>293.00340819999997</v>
      </c>
    </row>
    <row r="54" spans="1:5" ht="15" customHeight="1" x14ac:dyDescent="0.25">
      <c r="A54" s="2">
        <v>53</v>
      </c>
      <c r="B54" s="3" t="s">
        <v>57</v>
      </c>
      <c r="C54" s="3">
        <v>19</v>
      </c>
      <c r="D54" s="3">
        <v>6</v>
      </c>
      <c r="E54" s="3">
        <f t="shared" si="1"/>
        <v>293.00340819999997</v>
      </c>
    </row>
    <row r="55" spans="1:5" ht="15" customHeight="1" x14ac:dyDescent="0.25">
      <c r="A55" s="2">
        <v>54</v>
      </c>
      <c r="B55" s="3" t="s">
        <v>58</v>
      </c>
      <c r="C55" s="3">
        <v>19</v>
      </c>
      <c r="D55" s="3">
        <v>25</v>
      </c>
      <c r="E55" s="3">
        <f t="shared" si="1"/>
        <v>293.00340819999997</v>
      </c>
    </row>
    <row r="56" spans="1:5" ht="15" customHeight="1" x14ac:dyDescent="0.25">
      <c r="A56" s="2">
        <v>55</v>
      </c>
      <c r="B56" s="3" t="s">
        <v>59</v>
      </c>
      <c r="C56" s="3">
        <v>19</v>
      </c>
      <c r="D56" s="3">
        <v>25</v>
      </c>
      <c r="E56" s="3">
        <f t="shared" si="1"/>
        <v>293.00340819999997</v>
      </c>
    </row>
    <row r="57" spans="1:5" ht="15" customHeight="1" x14ac:dyDescent="0.25">
      <c r="A57" s="2">
        <v>56</v>
      </c>
      <c r="B57" s="3" t="s">
        <v>60</v>
      </c>
      <c r="C57" s="3">
        <v>19</v>
      </c>
      <c r="D57" s="3">
        <v>25</v>
      </c>
      <c r="E57" s="3">
        <f t="shared" si="1"/>
        <v>293.00340819999997</v>
      </c>
    </row>
    <row r="58" spans="1:5" ht="15" customHeight="1" x14ac:dyDescent="0.25">
      <c r="A58" s="2">
        <v>57</v>
      </c>
      <c r="B58" s="3" t="s">
        <v>61</v>
      </c>
      <c r="C58" s="3">
        <v>19</v>
      </c>
      <c r="D58" s="3">
        <v>25</v>
      </c>
      <c r="E58" s="3">
        <f t="shared" si="1"/>
        <v>293.00340819999997</v>
      </c>
    </row>
    <row r="59" spans="1:5" ht="15" customHeight="1" x14ac:dyDescent="0.25">
      <c r="A59" s="2">
        <v>58</v>
      </c>
      <c r="B59" s="3" t="s">
        <v>62</v>
      </c>
      <c r="C59" s="3">
        <v>19</v>
      </c>
      <c r="D59" s="3">
        <v>25</v>
      </c>
      <c r="E59" s="3">
        <f t="shared" si="1"/>
        <v>293.00340819999997</v>
      </c>
    </row>
    <row r="60" spans="1:5" ht="15" customHeight="1" x14ac:dyDescent="0.25">
      <c r="A60" s="2">
        <v>59</v>
      </c>
      <c r="B60" s="3" t="s">
        <v>63</v>
      </c>
      <c r="C60" s="3">
        <v>20</v>
      </c>
      <c r="D60" s="3">
        <v>26</v>
      </c>
      <c r="E60" s="3">
        <f t="shared" si="1"/>
        <v>343.20422000000008</v>
      </c>
    </row>
    <row r="61" spans="1:5" ht="15" customHeight="1" x14ac:dyDescent="0.25">
      <c r="A61" s="2">
        <v>60</v>
      </c>
      <c r="B61" s="3" t="s">
        <v>64</v>
      </c>
      <c r="C61" s="3">
        <v>19</v>
      </c>
      <c r="D61" s="3">
        <v>25</v>
      </c>
      <c r="E61" s="3">
        <f t="shared" si="1"/>
        <v>293.00340819999997</v>
      </c>
    </row>
    <row r="62" spans="1:5" ht="15" customHeight="1" x14ac:dyDescent="0.25">
      <c r="A62" s="2">
        <v>61</v>
      </c>
      <c r="B62" s="3" t="s">
        <v>65</v>
      </c>
      <c r="C62" s="3">
        <v>19</v>
      </c>
      <c r="D62" s="3">
        <v>25</v>
      </c>
      <c r="E62" s="3">
        <f t="shared" si="1"/>
        <v>293.00340819999997</v>
      </c>
    </row>
    <row r="63" spans="1:5" ht="15" customHeight="1" x14ac:dyDescent="0.25">
      <c r="A63" s="2">
        <v>62</v>
      </c>
      <c r="B63" s="3" t="s">
        <v>66</v>
      </c>
      <c r="C63" s="3">
        <v>19</v>
      </c>
      <c r="D63" s="3">
        <v>25</v>
      </c>
      <c r="E63" s="3">
        <f t="shared" si="1"/>
        <v>293.00340819999997</v>
      </c>
    </row>
    <row r="64" spans="1:5" ht="15" customHeight="1" x14ac:dyDescent="0.25">
      <c r="A64" s="2">
        <v>63</v>
      </c>
      <c r="B64" s="3" t="s">
        <v>67</v>
      </c>
      <c r="C64" s="3">
        <v>19</v>
      </c>
      <c r="D64" s="3">
        <v>25</v>
      </c>
      <c r="E64" s="3">
        <f t="shared" si="1"/>
        <v>293.00340819999997</v>
      </c>
    </row>
    <row r="65" spans="1:5" ht="15" customHeight="1" x14ac:dyDescent="0.25">
      <c r="A65" s="2">
        <v>64</v>
      </c>
      <c r="B65" s="3" t="s">
        <v>68</v>
      </c>
      <c r="C65" s="3">
        <v>19</v>
      </c>
      <c r="D65" s="3">
        <v>25</v>
      </c>
      <c r="E65" s="3">
        <f t="shared" si="1"/>
        <v>293.00340819999997</v>
      </c>
    </row>
    <row r="66" spans="1:5" ht="15" customHeight="1" x14ac:dyDescent="0.25">
      <c r="A66" s="2">
        <v>65</v>
      </c>
      <c r="B66" s="3" t="s">
        <v>69</v>
      </c>
      <c r="C66" s="3">
        <v>19</v>
      </c>
      <c r="D66" s="3">
        <v>25</v>
      </c>
      <c r="E66" s="3">
        <f t="shared" ref="E66:E97" si="2">213.96744-39.579185*C66+2.3020512*C66^2</f>
        <v>293.00340819999997</v>
      </c>
    </row>
    <row r="67" spans="1:5" ht="15" customHeight="1" x14ac:dyDescent="0.25">
      <c r="A67" s="2">
        <v>66</v>
      </c>
      <c r="B67" s="3" t="s">
        <v>70</v>
      </c>
      <c r="C67" s="3">
        <v>19</v>
      </c>
      <c r="D67" s="3">
        <v>25</v>
      </c>
      <c r="E67" s="3">
        <f t="shared" si="2"/>
        <v>293.00340819999997</v>
      </c>
    </row>
    <row r="68" spans="1:5" ht="15" customHeight="1" x14ac:dyDescent="0.25">
      <c r="A68" s="2">
        <v>67</v>
      </c>
      <c r="B68" s="3" t="s">
        <v>71</v>
      </c>
      <c r="C68" s="3">
        <v>19</v>
      </c>
      <c r="D68" s="3">
        <v>25</v>
      </c>
      <c r="E68" s="3">
        <f t="shared" si="2"/>
        <v>293.00340819999997</v>
      </c>
    </row>
    <row r="69" spans="1:5" ht="15" customHeight="1" x14ac:dyDescent="0.25">
      <c r="A69" s="2">
        <v>68</v>
      </c>
      <c r="B69" s="3" t="s">
        <v>72</v>
      </c>
      <c r="C69" s="3">
        <v>19</v>
      </c>
      <c r="D69" s="3">
        <v>25</v>
      </c>
      <c r="E69" s="3">
        <f t="shared" si="2"/>
        <v>293.00340819999997</v>
      </c>
    </row>
    <row r="70" spans="1:5" ht="15" customHeight="1" x14ac:dyDescent="0.25">
      <c r="A70" s="2">
        <v>69</v>
      </c>
      <c r="B70" s="3" t="s">
        <v>73</v>
      </c>
      <c r="C70" s="3">
        <v>19</v>
      </c>
      <c r="D70" s="3">
        <v>25</v>
      </c>
      <c r="E70" s="3">
        <f t="shared" si="2"/>
        <v>293.00340819999997</v>
      </c>
    </row>
    <row r="71" spans="1:5" ht="15" customHeight="1" x14ac:dyDescent="0.25">
      <c r="A71" s="2">
        <v>70</v>
      </c>
      <c r="B71" s="3" t="s">
        <v>74</v>
      </c>
      <c r="C71" s="3">
        <v>19</v>
      </c>
      <c r="D71" s="3">
        <v>25</v>
      </c>
      <c r="E71" s="3">
        <f t="shared" si="2"/>
        <v>293.00340819999997</v>
      </c>
    </row>
    <row r="72" spans="1:5" ht="15" customHeight="1" x14ac:dyDescent="0.25">
      <c r="A72" s="2">
        <v>71</v>
      </c>
      <c r="B72" s="3" t="s">
        <v>75</v>
      </c>
      <c r="C72" s="3">
        <v>19</v>
      </c>
      <c r="D72" s="3">
        <v>25</v>
      </c>
      <c r="E72" s="3">
        <f t="shared" si="2"/>
        <v>293.00340819999997</v>
      </c>
    </row>
    <row r="73" spans="1:5" ht="15" customHeight="1" x14ac:dyDescent="0.25">
      <c r="A73" s="2">
        <v>72</v>
      </c>
      <c r="B73" s="3" t="s">
        <v>76</v>
      </c>
      <c r="C73" s="3">
        <v>19</v>
      </c>
      <c r="D73" s="3">
        <v>25</v>
      </c>
      <c r="E73" s="3">
        <f t="shared" si="2"/>
        <v>293.00340819999997</v>
      </c>
    </row>
    <row r="74" spans="1:5" ht="15" customHeight="1" x14ac:dyDescent="0.25">
      <c r="A74" s="2">
        <v>73</v>
      </c>
      <c r="B74" s="3" t="s">
        <v>77</v>
      </c>
      <c r="C74" s="3">
        <v>19</v>
      </c>
      <c r="D74" s="3">
        <v>25</v>
      </c>
      <c r="E74" s="3">
        <f t="shared" si="2"/>
        <v>293.00340819999997</v>
      </c>
    </row>
    <row r="75" spans="1:5" ht="15" customHeight="1" x14ac:dyDescent="0.25">
      <c r="A75" s="2">
        <v>74</v>
      </c>
      <c r="B75" s="3" t="s">
        <v>78</v>
      </c>
      <c r="C75" s="3">
        <v>19</v>
      </c>
      <c r="D75" s="3">
        <v>25</v>
      </c>
      <c r="E75" s="3">
        <f t="shared" si="2"/>
        <v>293.00340819999997</v>
      </c>
    </row>
    <row r="76" spans="1:5" ht="15" customHeight="1" x14ac:dyDescent="0.25">
      <c r="A76" s="2">
        <v>75</v>
      </c>
      <c r="B76" s="3" t="s">
        <v>79</v>
      </c>
      <c r="C76" s="3">
        <v>19</v>
      </c>
      <c r="D76" s="3">
        <v>25</v>
      </c>
      <c r="E76" s="3">
        <f t="shared" si="2"/>
        <v>293.00340819999997</v>
      </c>
    </row>
    <row r="77" spans="1:5" ht="15" customHeight="1" x14ac:dyDescent="0.25">
      <c r="A77" s="2">
        <v>76</v>
      </c>
      <c r="B77" s="3" t="s">
        <v>80</v>
      </c>
      <c r="C77" s="3">
        <v>19</v>
      </c>
      <c r="D77" s="3">
        <v>25</v>
      </c>
      <c r="E77" s="3">
        <f t="shared" si="2"/>
        <v>293.00340819999997</v>
      </c>
    </row>
    <row r="78" spans="1:5" ht="15" customHeight="1" x14ac:dyDescent="0.25">
      <c r="A78" s="2">
        <v>77</v>
      </c>
      <c r="B78" s="3" t="s">
        <v>81</v>
      </c>
      <c r="C78" s="3">
        <v>19</v>
      </c>
      <c r="D78" s="3">
        <v>6</v>
      </c>
      <c r="E78" s="3">
        <f t="shared" si="2"/>
        <v>293.00340819999997</v>
      </c>
    </row>
    <row r="79" spans="1:5" ht="15" customHeight="1" x14ac:dyDescent="0.25">
      <c r="A79" s="2">
        <v>78</v>
      </c>
      <c r="B79" s="3" t="s">
        <v>82</v>
      </c>
      <c r="C79" s="3">
        <v>19</v>
      </c>
      <c r="D79" s="3">
        <v>25</v>
      </c>
      <c r="E79" s="3">
        <f t="shared" si="2"/>
        <v>293.00340819999997</v>
      </c>
    </row>
    <row r="80" spans="1:5" ht="15" customHeight="1" x14ac:dyDescent="0.25">
      <c r="A80" s="2">
        <v>79</v>
      </c>
      <c r="B80" s="3" t="s">
        <v>83</v>
      </c>
      <c r="C80" s="3">
        <v>16</v>
      </c>
      <c r="D80" s="3">
        <v>22</v>
      </c>
      <c r="E80" s="3">
        <f t="shared" si="2"/>
        <v>170.02558720000002</v>
      </c>
    </row>
    <row r="81" spans="1:5" ht="15" customHeight="1" x14ac:dyDescent="0.25">
      <c r="A81" s="2">
        <v>80</v>
      </c>
      <c r="B81" s="3" t="s">
        <v>84</v>
      </c>
      <c r="C81" s="3">
        <v>20</v>
      </c>
      <c r="D81" s="3">
        <v>26</v>
      </c>
      <c r="E81" s="3">
        <f t="shared" si="2"/>
        <v>343.20422000000008</v>
      </c>
    </row>
    <row r="82" spans="1:5" ht="15" customHeight="1" x14ac:dyDescent="0.25">
      <c r="A82" s="2">
        <v>81</v>
      </c>
      <c r="B82" s="3" t="s">
        <v>85</v>
      </c>
      <c r="C82" s="3">
        <v>19</v>
      </c>
      <c r="D82" s="3">
        <v>25</v>
      </c>
      <c r="E82" s="3">
        <f t="shared" si="2"/>
        <v>293.00340819999997</v>
      </c>
    </row>
    <row r="83" spans="1:5" ht="15" customHeight="1" x14ac:dyDescent="0.25">
      <c r="A83" s="2">
        <v>82</v>
      </c>
      <c r="B83" s="3" t="s">
        <v>86</v>
      </c>
      <c r="C83" s="3">
        <v>16</v>
      </c>
      <c r="D83" s="3">
        <v>22</v>
      </c>
      <c r="E83" s="3">
        <f t="shared" si="2"/>
        <v>170.02558720000002</v>
      </c>
    </row>
    <row r="84" spans="1:5" ht="15" customHeight="1" x14ac:dyDescent="0.25">
      <c r="A84" s="2">
        <v>83</v>
      </c>
      <c r="B84" s="3" t="s">
        <v>87</v>
      </c>
      <c r="C84" s="3">
        <v>19</v>
      </c>
      <c r="D84" s="3">
        <v>25</v>
      </c>
      <c r="E84" s="3">
        <f t="shared" si="2"/>
        <v>293.00340819999997</v>
      </c>
    </row>
    <row r="85" spans="1:5" ht="15" customHeight="1" x14ac:dyDescent="0.25">
      <c r="A85" s="2">
        <v>84</v>
      </c>
      <c r="B85" s="3" t="s">
        <v>88</v>
      </c>
      <c r="C85" s="3">
        <v>19</v>
      </c>
      <c r="D85" s="3">
        <v>25</v>
      </c>
      <c r="E85" s="3">
        <f t="shared" si="2"/>
        <v>293.00340819999997</v>
      </c>
    </row>
    <row r="86" spans="1:5" ht="15" customHeight="1" x14ac:dyDescent="0.25">
      <c r="A86" s="2">
        <v>85</v>
      </c>
      <c r="B86" s="3" t="s">
        <v>89</v>
      </c>
      <c r="C86" s="3">
        <v>19</v>
      </c>
      <c r="D86" s="3">
        <v>25</v>
      </c>
      <c r="E86" s="3">
        <f t="shared" si="2"/>
        <v>293.00340819999997</v>
      </c>
    </row>
    <row r="87" spans="1:5" ht="15" customHeight="1" x14ac:dyDescent="0.25">
      <c r="A87" s="2">
        <v>86</v>
      </c>
      <c r="B87" s="3" t="s">
        <v>90</v>
      </c>
      <c r="C87" s="3">
        <v>19</v>
      </c>
      <c r="D87" s="3">
        <v>25</v>
      </c>
      <c r="E87" s="3">
        <f t="shared" si="2"/>
        <v>293.00340819999997</v>
      </c>
    </row>
    <row r="88" spans="1:5" ht="15" customHeight="1" x14ac:dyDescent="0.25">
      <c r="A88" s="2">
        <v>87</v>
      </c>
      <c r="B88" s="3" t="s">
        <v>91</v>
      </c>
      <c r="C88" s="3">
        <v>19</v>
      </c>
      <c r="D88" s="3">
        <v>25</v>
      </c>
      <c r="E88" s="3">
        <f t="shared" si="2"/>
        <v>293.00340819999997</v>
      </c>
    </row>
    <row r="89" spans="1:5" ht="15" customHeight="1" x14ac:dyDescent="0.25">
      <c r="A89" s="2">
        <v>88</v>
      </c>
      <c r="B89" s="3" t="s">
        <v>92</v>
      </c>
      <c r="C89" s="3">
        <v>19</v>
      </c>
      <c r="D89" s="3">
        <v>25</v>
      </c>
      <c r="E89" s="3">
        <f t="shared" si="2"/>
        <v>293.00340819999997</v>
      </c>
    </row>
    <row r="90" spans="1:5" ht="15" customHeight="1" x14ac:dyDescent="0.25">
      <c r="A90" s="2">
        <v>89</v>
      </c>
      <c r="B90" s="3" t="s">
        <v>93</v>
      </c>
      <c r="C90" s="3">
        <v>19</v>
      </c>
      <c r="D90" s="3">
        <v>25</v>
      </c>
      <c r="E90" s="3">
        <f t="shared" si="2"/>
        <v>293.00340819999997</v>
      </c>
    </row>
    <row r="91" spans="1:5" ht="15" customHeight="1" x14ac:dyDescent="0.25">
      <c r="A91" s="2">
        <v>90</v>
      </c>
      <c r="B91" s="3" t="s">
        <v>94</v>
      </c>
      <c r="C91" s="3">
        <v>19</v>
      </c>
      <c r="D91" s="3">
        <v>25</v>
      </c>
      <c r="E91" s="3">
        <f t="shared" si="2"/>
        <v>293.00340819999997</v>
      </c>
    </row>
    <row r="92" spans="1:5" ht="15" customHeight="1" x14ac:dyDescent="0.25">
      <c r="A92" s="2">
        <v>91</v>
      </c>
      <c r="B92" s="3" t="s">
        <v>95</v>
      </c>
      <c r="C92" s="3">
        <v>20</v>
      </c>
      <c r="D92" s="3">
        <v>26</v>
      </c>
      <c r="E92" s="3">
        <f t="shared" si="2"/>
        <v>343.20422000000008</v>
      </c>
    </row>
    <row r="93" spans="1:5" ht="15" customHeight="1" x14ac:dyDescent="0.25">
      <c r="A93" s="2">
        <v>92</v>
      </c>
      <c r="B93" s="3" t="s">
        <v>96</v>
      </c>
      <c r="C93" s="3">
        <v>19</v>
      </c>
      <c r="D93" s="3">
        <v>25</v>
      </c>
      <c r="E93" s="3">
        <f t="shared" si="2"/>
        <v>293.00340819999997</v>
      </c>
    </row>
    <row r="94" spans="1:5" ht="15" customHeight="1" x14ac:dyDescent="0.25">
      <c r="A94" s="2">
        <v>93</v>
      </c>
      <c r="B94" s="3" t="s">
        <v>97</v>
      </c>
      <c r="C94" s="3">
        <v>24</v>
      </c>
      <c r="D94" s="3">
        <v>30</v>
      </c>
      <c r="E94" s="3">
        <f t="shared" si="2"/>
        <v>590.04849120000006</v>
      </c>
    </row>
    <row r="95" spans="1:5" ht="15" customHeight="1" x14ac:dyDescent="0.25">
      <c r="A95" s="2">
        <v>94</v>
      </c>
      <c r="B95" s="3" t="s">
        <v>98</v>
      </c>
      <c r="C95" s="3">
        <v>19</v>
      </c>
      <c r="D95" s="3">
        <v>25</v>
      </c>
      <c r="E95" s="3">
        <f t="shared" si="2"/>
        <v>293.00340819999997</v>
      </c>
    </row>
    <row r="96" spans="1:5" ht="15" customHeight="1" x14ac:dyDescent="0.25">
      <c r="A96" s="2">
        <v>95</v>
      </c>
      <c r="B96" s="3" t="s">
        <v>99</v>
      </c>
      <c r="C96" s="3">
        <v>19</v>
      </c>
      <c r="D96" s="3">
        <v>25</v>
      </c>
      <c r="E96" s="3">
        <f t="shared" si="2"/>
        <v>293.00340819999997</v>
      </c>
    </row>
    <row r="97" spans="1:5" ht="15" customHeight="1" x14ac:dyDescent="0.25">
      <c r="A97" s="2">
        <v>96</v>
      </c>
      <c r="B97" s="3" t="s">
        <v>100</v>
      </c>
      <c r="C97" s="3">
        <v>19</v>
      </c>
      <c r="D97" s="3">
        <v>25</v>
      </c>
      <c r="E97" s="3">
        <f t="shared" si="2"/>
        <v>293.00340819999997</v>
      </c>
    </row>
    <row r="98" spans="1:5" ht="15" customHeight="1" x14ac:dyDescent="0.25">
      <c r="A98" s="2">
        <v>97</v>
      </c>
      <c r="B98" s="3" t="s">
        <v>101</v>
      </c>
      <c r="C98" s="3">
        <v>19</v>
      </c>
      <c r="D98" s="3">
        <v>25</v>
      </c>
      <c r="E98" s="3">
        <f t="shared" ref="E98:E107" si="3">213.96744-39.579185*C98+2.3020512*C98^2</f>
        <v>293.00340819999997</v>
      </c>
    </row>
    <row r="99" spans="1:5" ht="15" customHeight="1" x14ac:dyDescent="0.25">
      <c r="A99" s="2">
        <v>98</v>
      </c>
      <c r="B99" s="3" t="s">
        <v>102</v>
      </c>
      <c r="C99" s="3">
        <v>19</v>
      </c>
      <c r="D99" s="3">
        <v>25</v>
      </c>
      <c r="E99" s="3">
        <f t="shared" si="3"/>
        <v>293.00340819999997</v>
      </c>
    </row>
    <row r="100" spans="1:5" ht="15" customHeight="1" x14ac:dyDescent="0.25">
      <c r="A100" s="2">
        <v>99</v>
      </c>
      <c r="B100" s="3" t="s">
        <v>103</v>
      </c>
      <c r="C100" s="3">
        <v>19</v>
      </c>
      <c r="D100" s="3">
        <v>25</v>
      </c>
      <c r="E100" s="3">
        <f t="shared" si="3"/>
        <v>293.00340819999997</v>
      </c>
    </row>
    <row r="101" spans="1:5" ht="15" customHeight="1" x14ac:dyDescent="0.25">
      <c r="A101" s="2">
        <v>100</v>
      </c>
      <c r="B101" s="3" t="s">
        <v>104</v>
      </c>
      <c r="C101" s="3">
        <v>21</v>
      </c>
      <c r="D101" s="3">
        <v>27</v>
      </c>
      <c r="E101" s="3">
        <f t="shared" si="3"/>
        <v>398.00913420000006</v>
      </c>
    </row>
    <row r="102" spans="1:5" ht="15" customHeight="1" x14ac:dyDescent="0.25">
      <c r="A102" s="2">
        <v>101</v>
      </c>
      <c r="B102" s="3" t="s">
        <v>105</v>
      </c>
      <c r="C102" s="3">
        <v>21</v>
      </c>
      <c r="D102" s="3">
        <v>27</v>
      </c>
      <c r="E102" s="3">
        <f t="shared" si="3"/>
        <v>398.00913420000006</v>
      </c>
    </row>
    <row r="103" spans="1:5" ht="15" customHeight="1" x14ac:dyDescent="0.25">
      <c r="A103" s="2">
        <v>102</v>
      </c>
      <c r="B103" s="3" t="s">
        <v>106</v>
      </c>
      <c r="C103" s="3">
        <v>19</v>
      </c>
      <c r="D103" s="3">
        <v>6</v>
      </c>
      <c r="E103" s="3">
        <f t="shared" si="3"/>
        <v>293.00340819999997</v>
      </c>
    </row>
    <row r="104" spans="1:5" ht="15" customHeight="1" x14ac:dyDescent="0.25">
      <c r="A104" s="2">
        <v>103</v>
      </c>
      <c r="B104" s="3" t="s">
        <v>107</v>
      </c>
      <c r="C104" s="3">
        <v>19</v>
      </c>
      <c r="D104" s="3">
        <v>25</v>
      </c>
      <c r="E104" s="3">
        <f t="shared" si="3"/>
        <v>293.00340819999997</v>
      </c>
    </row>
    <row r="105" spans="1:5" ht="15" customHeight="1" x14ac:dyDescent="0.25">
      <c r="A105" s="2">
        <v>104</v>
      </c>
      <c r="B105" s="3" t="s">
        <v>108</v>
      </c>
      <c r="C105" s="3">
        <v>19</v>
      </c>
      <c r="D105" s="3">
        <v>25</v>
      </c>
      <c r="E105" s="3">
        <f t="shared" si="3"/>
        <v>293.00340819999997</v>
      </c>
    </row>
    <row r="106" spans="1:5" ht="15" customHeight="1" x14ac:dyDescent="0.25">
      <c r="A106" s="2">
        <v>105</v>
      </c>
      <c r="B106" s="3" t="s">
        <v>109</v>
      </c>
      <c r="C106" s="3">
        <v>19</v>
      </c>
      <c r="D106" s="3">
        <v>25</v>
      </c>
      <c r="E106" s="3">
        <f t="shared" si="3"/>
        <v>293.00340819999997</v>
      </c>
    </row>
    <row r="107" spans="1:5" ht="15" customHeight="1" x14ac:dyDescent="0.25">
      <c r="A107" s="2">
        <v>106</v>
      </c>
      <c r="B107" s="3" t="s">
        <v>110</v>
      </c>
      <c r="C107" s="3">
        <v>19</v>
      </c>
      <c r="D107" s="3">
        <v>25</v>
      </c>
      <c r="E107" s="3">
        <f t="shared" si="3"/>
        <v>293.00340819999997</v>
      </c>
    </row>
    <row r="109" spans="1:5" ht="15" customHeight="1" x14ac:dyDescent="0.25">
      <c r="A109" s="4"/>
    </row>
    <row r="110" spans="1:5" ht="15" customHeight="1" x14ac:dyDescent="0.25">
      <c r="A1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A21" sqref="A21:XFD22"/>
    </sheetView>
  </sheetViews>
  <sheetFormatPr defaultColWidth="8.7109375" defaultRowHeight="15" x14ac:dyDescent="0.25"/>
  <cols>
    <col min="1" max="1" width="13" customWidth="1"/>
    <col min="2" max="2" width="17" customWidth="1"/>
    <col min="3" max="3" width="14" customWidth="1"/>
  </cols>
  <sheetData>
    <row r="1" spans="1:3" ht="15" customHeight="1" x14ac:dyDescent="0.25">
      <c r="A1" s="1" t="s">
        <v>111</v>
      </c>
      <c r="B1" s="1" t="s">
        <v>112</v>
      </c>
      <c r="C1" s="1" t="s">
        <v>113</v>
      </c>
    </row>
    <row r="2" spans="1:3" ht="15" customHeight="1" x14ac:dyDescent="0.25">
      <c r="A2" s="2">
        <v>1</v>
      </c>
      <c r="B2" s="3">
        <v>1</v>
      </c>
      <c r="C2" s="3">
        <v>2</v>
      </c>
    </row>
    <row r="3" spans="1:3" ht="15" customHeight="1" x14ac:dyDescent="0.25">
      <c r="A3" s="2">
        <v>1</v>
      </c>
      <c r="B3" s="3">
        <v>2</v>
      </c>
      <c r="C3" s="3">
        <v>1.4</v>
      </c>
    </row>
    <row r="4" spans="1:3" ht="15" customHeight="1" x14ac:dyDescent="0.25">
      <c r="A4" s="2">
        <v>1</v>
      </c>
      <c r="B4" s="3">
        <v>3</v>
      </c>
      <c r="C4" s="3">
        <v>1.35</v>
      </c>
    </row>
    <row r="5" spans="1:3" ht="15" customHeight="1" x14ac:dyDescent="0.25">
      <c r="A5" s="2">
        <v>2</v>
      </c>
      <c r="B5" s="3">
        <v>1</v>
      </c>
      <c r="C5" s="3">
        <v>1</v>
      </c>
    </row>
    <row r="6" spans="1:3" ht="15" customHeight="1" x14ac:dyDescent="0.25">
      <c r="A6" s="2">
        <v>2</v>
      </c>
      <c r="B6" s="3">
        <v>2</v>
      </c>
      <c r="C6" s="3">
        <v>1</v>
      </c>
    </row>
    <row r="7" spans="1:3" ht="15" customHeight="1" x14ac:dyDescent="0.25">
      <c r="A7" s="2">
        <v>2</v>
      </c>
      <c r="B7" s="3">
        <v>3</v>
      </c>
      <c r="C7" s="3">
        <v>1</v>
      </c>
    </row>
    <row r="8" spans="1:3" ht="15" customHeight="1" x14ac:dyDescent="0.25">
      <c r="A8" s="2">
        <v>3</v>
      </c>
      <c r="B8" s="3">
        <v>1</v>
      </c>
      <c r="C8" s="3">
        <v>1.8</v>
      </c>
    </row>
    <row r="9" spans="1:3" ht="15" customHeight="1" x14ac:dyDescent="0.25">
      <c r="A9" s="2">
        <v>3</v>
      </c>
      <c r="B9" s="3">
        <v>2</v>
      </c>
      <c r="C9" s="3">
        <v>0.66</v>
      </c>
    </row>
    <row r="10" spans="1:3" ht="15" customHeight="1" x14ac:dyDescent="0.25">
      <c r="A10" s="2">
        <v>3</v>
      </c>
      <c r="B10" s="3">
        <v>3</v>
      </c>
      <c r="C10" s="3">
        <v>1</v>
      </c>
    </row>
    <row r="11" spans="1:3" ht="15" customHeight="1" x14ac:dyDescent="0.25">
      <c r="A11" s="2">
        <v>4</v>
      </c>
      <c r="B11" s="3">
        <v>1</v>
      </c>
      <c r="C11" s="3">
        <v>2.4</v>
      </c>
    </row>
    <row r="12" spans="1:3" ht="15" customHeight="1" x14ac:dyDescent="0.25">
      <c r="A12" s="2">
        <v>4</v>
      </c>
      <c r="B12" s="3">
        <v>2</v>
      </c>
      <c r="C12" s="3">
        <v>1.8</v>
      </c>
    </row>
    <row r="13" spans="1:3" ht="15" customHeight="1" x14ac:dyDescent="0.25">
      <c r="A13" s="2">
        <v>4</v>
      </c>
      <c r="B13" s="3">
        <v>3</v>
      </c>
      <c r="C13" s="3">
        <v>1.7</v>
      </c>
    </row>
    <row r="14" spans="1:3" ht="15" customHeight="1" x14ac:dyDescent="0.25">
      <c r="A14" s="2">
        <v>5</v>
      </c>
      <c r="B14" s="3">
        <v>1</v>
      </c>
      <c r="C14" s="3">
        <v>2.1</v>
      </c>
    </row>
    <row r="15" spans="1:3" ht="15" customHeight="1" x14ac:dyDescent="0.25">
      <c r="A15" s="2">
        <v>5</v>
      </c>
      <c r="B15" s="3">
        <v>2</v>
      </c>
      <c r="C15" s="3">
        <v>3.1</v>
      </c>
    </row>
    <row r="16" spans="1:3" ht="15" customHeight="1" x14ac:dyDescent="0.25">
      <c r="A16" s="2">
        <v>5</v>
      </c>
      <c r="B16" s="3">
        <v>3</v>
      </c>
      <c r="C16" s="3">
        <v>1.25</v>
      </c>
    </row>
    <row r="17" spans="1:3" ht="15" customHeight="1" x14ac:dyDescent="0.25">
      <c r="A17" s="2">
        <v>6</v>
      </c>
      <c r="B17" s="3">
        <v>1</v>
      </c>
      <c r="C17" s="3">
        <v>2.2999999999999998</v>
      </c>
    </row>
    <row r="18" spans="1:3" ht="15" customHeight="1" x14ac:dyDescent="0.25">
      <c r="A18" s="2">
        <v>6</v>
      </c>
      <c r="B18" s="3">
        <v>2</v>
      </c>
      <c r="C18" s="3">
        <v>3.66</v>
      </c>
    </row>
    <row r="19" spans="1:3" ht="15" customHeight="1" x14ac:dyDescent="0.25">
      <c r="A19" s="2">
        <v>6</v>
      </c>
      <c r="B19" s="3">
        <v>3</v>
      </c>
      <c r="C19" s="3">
        <v>1.5</v>
      </c>
    </row>
    <row r="21" spans="1:3" ht="15" customHeight="1" x14ac:dyDescent="0.25">
      <c r="A21" s="4"/>
    </row>
    <row r="22" spans="1:3" ht="15" customHeight="1" x14ac:dyDescent="0.25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A6" sqref="A6:XFD6"/>
    </sheetView>
  </sheetViews>
  <sheetFormatPr defaultColWidth="8.7109375" defaultRowHeight="15" x14ac:dyDescent="0.25"/>
  <cols>
    <col min="1" max="1" width="17" customWidth="1"/>
    <col min="2" max="2" width="20" customWidth="1"/>
    <col min="3" max="3" width="62" customWidth="1"/>
  </cols>
  <sheetData>
    <row r="1" spans="1:3" ht="15" customHeight="1" x14ac:dyDescent="0.25">
      <c r="A1" s="1" t="s">
        <v>112</v>
      </c>
      <c r="B1" s="1" t="s">
        <v>114</v>
      </c>
      <c r="C1" s="1" t="s">
        <v>115</v>
      </c>
    </row>
    <row r="2" spans="1:3" ht="15" customHeight="1" x14ac:dyDescent="0.25">
      <c r="A2" s="2">
        <v>1</v>
      </c>
      <c r="B2" s="3" t="s">
        <v>116</v>
      </c>
      <c r="C2" s="3" t="s">
        <v>117</v>
      </c>
    </row>
    <row r="3" spans="1:3" ht="15" customHeight="1" x14ac:dyDescent="0.25">
      <c r="A3" s="2">
        <v>2</v>
      </c>
      <c r="B3" s="3" t="s">
        <v>118</v>
      </c>
      <c r="C3" s="3" t="s">
        <v>119</v>
      </c>
    </row>
    <row r="4" spans="1:3" ht="15" customHeight="1" x14ac:dyDescent="0.25">
      <c r="A4" s="2">
        <v>3</v>
      </c>
      <c r="B4" s="3" t="s">
        <v>120</v>
      </c>
      <c r="C4" s="3" t="s">
        <v>121</v>
      </c>
    </row>
    <row r="6" spans="1:3" ht="15" customHeight="1" x14ac:dyDescent="0.25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 x14ac:dyDescent="0.25"/>
  <cols>
    <col min="1" max="1" width="9" customWidth="1"/>
    <col min="2" max="4" width="12" customWidth="1"/>
  </cols>
  <sheetData>
    <row r="1" spans="1:4" ht="15" customHeight="1" x14ac:dyDescent="0.25">
      <c r="A1" s="1" t="s">
        <v>122</v>
      </c>
      <c r="B1" s="1" t="s">
        <v>114</v>
      </c>
      <c r="C1" s="1" t="s">
        <v>123</v>
      </c>
      <c r="D1" s="1" t="s">
        <v>124</v>
      </c>
    </row>
    <row r="2" spans="1:4" ht="15" customHeight="1" x14ac:dyDescent="0.25">
      <c r="A2" s="2">
        <v>1</v>
      </c>
      <c r="B2" s="3" t="s">
        <v>125</v>
      </c>
      <c r="C2" s="3">
        <v>0.125</v>
      </c>
      <c r="D2" s="3">
        <v>0.25</v>
      </c>
    </row>
    <row r="3" spans="1:4" ht="15" customHeight="1" x14ac:dyDescent="0.25">
      <c r="A3" s="2">
        <v>2</v>
      </c>
      <c r="B3" s="3" t="s">
        <v>126</v>
      </c>
      <c r="C3" s="3">
        <v>2.5000000000000001E-2</v>
      </c>
      <c r="D3" s="3">
        <v>0.05</v>
      </c>
    </row>
    <row r="4" spans="1:4" ht="15" customHeight="1" x14ac:dyDescent="0.25">
      <c r="A4" s="2">
        <v>3</v>
      </c>
      <c r="B4" s="3" t="s">
        <v>127</v>
      </c>
      <c r="C4" s="3">
        <v>1.7500000000000002E-2</v>
      </c>
      <c r="D4" s="3">
        <v>3.5000000000000003E-2</v>
      </c>
    </row>
    <row r="5" spans="1:4" ht="15" customHeight="1" x14ac:dyDescent="0.25">
      <c r="A5" s="2">
        <v>4</v>
      </c>
      <c r="B5" s="3" t="s">
        <v>128</v>
      </c>
      <c r="C5" s="3">
        <v>0.01</v>
      </c>
      <c r="D5" s="3">
        <v>0.02</v>
      </c>
    </row>
    <row r="7" spans="1:4" ht="15" customHeight="1" x14ac:dyDescent="0.25">
      <c r="A7" s="4"/>
    </row>
    <row r="8" spans="1:4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 x14ac:dyDescent="0.25"/>
  <cols>
    <col min="1" max="1" width="13" customWidth="1"/>
    <col min="2" max="2" width="70" customWidth="1"/>
    <col min="3" max="4" width="12" customWidth="1"/>
  </cols>
  <sheetData>
    <row r="1" spans="1:4" ht="15" customHeight="1" x14ac:dyDescent="0.25">
      <c r="A1" s="1" t="s">
        <v>129</v>
      </c>
      <c r="B1" s="1" t="s">
        <v>114</v>
      </c>
      <c r="C1" s="1" t="s">
        <v>130</v>
      </c>
      <c r="D1" s="1" t="s">
        <v>131</v>
      </c>
    </row>
    <row r="2" spans="1:4" ht="15" customHeight="1" x14ac:dyDescent="0.25">
      <c r="A2" s="2">
        <v>1</v>
      </c>
      <c r="B2" s="3" t="s">
        <v>132</v>
      </c>
      <c r="C2" s="3">
        <v>0.98</v>
      </c>
      <c r="D2" s="3">
        <v>0.9</v>
      </c>
    </row>
    <row r="3" spans="1:4" ht="15" customHeight="1" x14ac:dyDescent="0.25">
      <c r="A3" s="2">
        <v>2</v>
      </c>
      <c r="B3" s="3" t="s">
        <v>133</v>
      </c>
      <c r="C3" s="3">
        <v>0.99</v>
      </c>
      <c r="D3" s="3">
        <v>1</v>
      </c>
    </row>
    <row r="4" spans="1:4" ht="15" customHeight="1" x14ac:dyDescent="0.25">
      <c r="A4" s="2">
        <v>3</v>
      </c>
      <c r="B4" s="3" t="s">
        <v>134</v>
      </c>
      <c r="C4" s="3">
        <v>1</v>
      </c>
      <c r="D4" s="3">
        <v>1.1000000000000001</v>
      </c>
    </row>
    <row r="5" spans="1:4" ht="15" customHeight="1" x14ac:dyDescent="0.25">
      <c r="A5" s="2">
        <v>4</v>
      </c>
      <c r="B5" s="3" t="s">
        <v>135</v>
      </c>
      <c r="C5" s="3">
        <v>1.01</v>
      </c>
      <c r="D5" s="3">
        <v>1.4</v>
      </c>
    </row>
    <row r="6" spans="1:4" ht="15" customHeight="1" x14ac:dyDescent="0.25">
      <c r="A6" s="2">
        <v>5</v>
      </c>
      <c r="B6" s="3" t="s">
        <v>136</v>
      </c>
      <c r="C6" s="3">
        <v>1.03</v>
      </c>
      <c r="D6" s="3">
        <v>1.6</v>
      </c>
    </row>
    <row r="8" spans="1:4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defaultColWidth="8.7109375" defaultRowHeight="15" x14ac:dyDescent="0.25"/>
  <cols>
    <col min="1" max="2" width="12" customWidth="1"/>
    <col min="3" max="3" width="21" customWidth="1"/>
    <col min="4" max="4" width="14" customWidth="1"/>
  </cols>
  <sheetData>
    <row r="1" spans="1:4" ht="15" customHeight="1" x14ac:dyDescent="0.25">
      <c r="A1" s="1" t="s">
        <v>137</v>
      </c>
      <c r="B1" s="1" t="s">
        <v>114</v>
      </c>
      <c r="C1" s="1" t="s">
        <v>138</v>
      </c>
      <c r="D1" s="1" t="s">
        <v>139</v>
      </c>
    </row>
    <row r="2" spans="1:4" ht="15" customHeight="1" x14ac:dyDescent="0.25">
      <c r="A2" s="2">
        <v>1</v>
      </c>
      <c r="B2" s="3" t="s">
        <v>140</v>
      </c>
      <c r="C2" s="3">
        <v>160</v>
      </c>
      <c r="D2" s="3">
        <v>110000</v>
      </c>
    </row>
    <row r="3" spans="1:4" ht="15" customHeight="1" x14ac:dyDescent="0.25">
      <c r="A3" s="2">
        <v>2</v>
      </c>
      <c r="B3" s="3" t="s">
        <v>141</v>
      </c>
      <c r="C3" s="3">
        <v>140</v>
      </c>
      <c r="D3" s="3">
        <v>90000</v>
      </c>
    </row>
    <row r="4" spans="1:4" ht="15" customHeight="1" x14ac:dyDescent="0.25">
      <c r="A4" s="2">
        <v>3</v>
      </c>
      <c r="B4" s="3" t="s">
        <v>142</v>
      </c>
      <c r="C4" s="3">
        <v>115</v>
      </c>
      <c r="D4" s="3">
        <v>70000</v>
      </c>
    </row>
    <row r="5" spans="1:4" ht="15" customHeight="1" x14ac:dyDescent="0.25">
      <c r="A5" s="2">
        <v>4</v>
      </c>
      <c r="B5" s="3" t="s">
        <v>143</v>
      </c>
      <c r="C5" s="3">
        <v>85</v>
      </c>
      <c r="D5" s="3">
        <v>35000</v>
      </c>
    </row>
    <row r="6" spans="1:4" ht="15" customHeight="1" x14ac:dyDescent="0.25">
      <c r="A6" s="2">
        <v>5</v>
      </c>
      <c r="B6" s="3" t="s">
        <v>144</v>
      </c>
      <c r="C6" s="3">
        <v>60</v>
      </c>
      <c r="D6" s="3">
        <v>20000</v>
      </c>
    </row>
    <row r="8" spans="1:4" ht="15" customHeight="1" x14ac:dyDescent="0.25">
      <c r="A8" s="4"/>
    </row>
    <row r="9" spans="1:4" ht="15" customHeight="1" x14ac:dyDescent="0.25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defaultColWidth="8.7109375" defaultRowHeight="15" x14ac:dyDescent="0.25"/>
  <cols>
    <col min="1" max="1" width="16" customWidth="1"/>
    <col min="2" max="2" width="14" customWidth="1"/>
    <col min="3" max="3" width="34" customWidth="1"/>
  </cols>
  <sheetData>
    <row r="1" spans="1:3" ht="15" customHeight="1" x14ac:dyDescent="0.25">
      <c r="A1" s="1" t="s">
        <v>145</v>
      </c>
      <c r="B1" s="1" t="s">
        <v>146</v>
      </c>
      <c r="C1" s="1" t="s">
        <v>147</v>
      </c>
    </row>
    <row r="2" spans="1:3" ht="15" customHeight="1" x14ac:dyDescent="0.25">
      <c r="A2" s="5" t="s">
        <v>148</v>
      </c>
      <c r="B2" s="3">
        <v>9.2499999999999995E-6</v>
      </c>
      <c r="C2" s="3" t="s">
        <v>149</v>
      </c>
    </row>
    <row r="3" spans="1:3" ht="15" customHeight="1" x14ac:dyDescent="0.25">
      <c r="A3" s="5" t="s">
        <v>150</v>
      </c>
      <c r="B3" s="3">
        <v>1</v>
      </c>
      <c r="C3" s="3" t="s">
        <v>151</v>
      </c>
    </row>
    <row r="4" spans="1:3" ht="15" customHeight="1" x14ac:dyDescent="0.25">
      <c r="A4" s="5" t="s">
        <v>152</v>
      </c>
      <c r="B4" s="3">
        <v>3.06</v>
      </c>
      <c r="C4" s="3" t="s">
        <v>153</v>
      </c>
    </row>
    <row r="5" spans="1:3" ht="15" customHeight="1" x14ac:dyDescent="0.25">
      <c r="A5" s="5" t="s">
        <v>154</v>
      </c>
      <c r="B5" s="3">
        <v>1</v>
      </c>
      <c r="C5" s="3" t="s">
        <v>155</v>
      </c>
    </row>
    <row r="6" spans="1:3" ht="15" customHeight="1" x14ac:dyDescent="0.25">
      <c r="A6" s="5" t="s">
        <v>156</v>
      </c>
      <c r="B6" s="3">
        <v>4.5</v>
      </c>
      <c r="C6" s="3" t="s">
        <v>157</v>
      </c>
    </row>
    <row r="7" spans="1:3" ht="15" customHeight="1" x14ac:dyDescent="0.25">
      <c r="A7" s="5" t="s">
        <v>158</v>
      </c>
      <c r="B7" s="3">
        <v>-2</v>
      </c>
      <c r="C7" s="3" t="s">
        <v>159</v>
      </c>
    </row>
    <row r="8" spans="1:3" ht="15" customHeight="1" x14ac:dyDescent="0.25">
      <c r="A8" s="5" t="s">
        <v>160</v>
      </c>
      <c r="B8" s="3">
        <v>213.96744000000001</v>
      </c>
      <c r="C8" s="3" t="s">
        <v>161</v>
      </c>
    </row>
    <row r="9" spans="1:3" ht="15" customHeight="1" x14ac:dyDescent="0.25">
      <c r="A9" s="5" t="s">
        <v>162</v>
      </c>
      <c r="B9" s="3">
        <v>-39.579185000000003</v>
      </c>
      <c r="C9" s="3" t="s">
        <v>163</v>
      </c>
    </row>
    <row r="10" spans="1:3" ht="15" customHeight="1" x14ac:dyDescent="0.25">
      <c r="A10" s="5" t="s">
        <v>164</v>
      </c>
      <c r="B10" s="3">
        <v>2.3020512000000002</v>
      </c>
      <c r="C10" s="3" t="s">
        <v>165</v>
      </c>
    </row>
    <row r="11" spans="1:3" ht="15" customHeight="1" x14ac:dyDescent="0.25">
      <c r="A11" s="5" t="s">
        <v>166</v>
      </c>
      <c r="B11" s="3">
        <v>0</v>
      </c>
      <c r="C11" s="3" t="s">
        <v>167</v>
      </c>
    </row>
    <row r="12" spans="1:3" ht="15" customHeight="1" x14ac:dyDescent="0.25">
      <c r="A12" s="5" t="s">
        <v>168</v>
      </c>
      <c r="B12" s="3">
        <v>1</v>
      </c>
      <c r="C12" s="3" t="s">
        <v>169</v>
      </c>
    </row>
    <row r="14" spans="1:3" ht="15" customHeight="1" x14ac:dyDescent="0.25">
      <c r="A14" s="6"/>
    </row>
    <row r="15" spans="1:3" ht="15" customHeight="1" x14ac:dyDescent="0.25">
      <c r="A15" s="4"/>
    </row>
    <row r="16" spans="1:3" ht="15" customHeight="1" x14ac:dyDescent="0.25">
      <c r="A16" s="4"/>
    </row>
    <row r="17" spans="1:1" ht="15" customHeight="1" x14ac:dyDescent="0.25">
      <c r="A17" s="4"/>
    </row>
    <row r="18" spans="1:1" ht="15" customHeight="1" x14ac:dyDescent="0.25">
      <c r="A18" s="4"/>
    </row>
    <row r="19" spans="1:1" ht="15" customHeight="1" x14ac:dyDescent="0.25">
      <c r="A19" s="4"/>
    </row>
    <row r="20" spans="1:1" ht="15" customHeight="1" x14ac:dyDescent="0.25">
      <c r="A20" s="4"/>
    </row>
    <row r="21" spans="1:1" ht="15" customHeight="1" x14ac:dyDescent="0.25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defaultColWidth="8.7109375" defaultRowHeight="15" x14ac:dyDescent="0.25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5">
      <c r="A1" s="7" t="s">
        <v>129</v>
      </c>
      <c r="B1" s="7" t="s">
        <v>170</v>
      </c>
      <c r="C1" s="7" t="s">
        <v>171</v>
      </c>
      <c r="D1" s="7" t="s">
        <v>4</v>
      </c>
      <c r="E1" s="7" t="s">
        <v>172</v>
      </c>
      <c r="F1" s="7" t="s">
        <v>173</v>
      </c>
    </row>
    <row r="2" spans="1:6" ht="15" customHeight="1" x14ac:dyDescent="0.25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5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5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5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5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5">
      <c r="A8" s="4"/>
    </row>
    <row r="9" spans="1:6" ht="15" customHeight="1" x14ac:dyDescent="0.25">
      <c r="A9" s="4"/>
    </row>
    <row r="10" spans="1:6" ht="15" customHeight="1" x14ac:dyDescent="0.25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defaultColWidth="8.7109375" defaultRowHeight="15" x14ac:dyDescent="0.25"/>
  <cols>
    <col min="1" max="1" width="16" customWidth="1"/>
    <col min="2" max="2" width="12" customWidth="1"/>
    <col min="3" max="3" width="10" customWidth="1"/>
  </cols>
  <sheetData>
    <row r="1" spans="1:3" ht="15" customHeight="1" x14ac:dyDescent="0.25">
      <c r="A1" s="7" t="s">
        <v>174</v>
      </c>
      <c r="B1" s="7" t="s">
        <v>175</v>
      </c>
      <c r="C1" s="7" t="s">
        <v>176</v>
      </c>
    </row>
    <row r="2" spans="1:3" ht="15" customHeight="1" x14ac:dyDescent="0.25">
      <c r="A2" s="8">
        <v>0</v>
      </c>
      <c r="B2" s="3">
        <v>0</v>
      </c>
      <c r="C2" s="3">
        <v>0</v>
      </c>
    </row>
    <row r="3" spans="1:3" ht="15" customHeight="1" x14ac:dyDescent="0.25">
      <c r="A3" s="8">
        <v>1</v>
      </c>
      <c r="B3" s="3">
        <v>-0.03</v>
      </c>
      <c r="C3" s="3">
        <v>5.0000000000000001E-4</v>
      </c>
    </row>
    <row r="4" spans="1:3" ht="15" customHeight="1" x14ac:dyDescent="0.25">
      <c r="A4" s="8">
        <v>2</v>
      </c>
      <c r="B4" s="3">
        <v>-0.1</v>
      </c>
      <c r="C4" s="3">
        <v>1E-3</v>
      </c>
    </row>
    <row r="5" spans="1:3" ht="15" customHeight="1" x14ac:dyDescent="0.25">
      <c r="A5" s="8">
        <v>3</v>
      </c>
      <c r="B5" s="3">
        <v>0.02</v>
      </c>
      <c r="C5" s="3">
        <v>0</v>
      </c>
    </row>
    <row r="7" spans="1:3" ht="15" customHeight="1" x14ac:dyDescent="0.25">
      <c r="A7" s="4"/>
    </row>
    <row r="8" spans="1:3" ht="15" customHeight="1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defaultColWidth="8.7109375" defaultRowHeight="15" x14ac:dyDescent="0.25"/>
  <cols>
    <col min="1" max="2" width="14" customWidth="1"/>
    <col min="3" max="3" width="58" customWidth="1"/>
  </cols>
  <sheetData>
    <row r="1" spans="1:3" ht="15" customHeight="1" x14ac:dyDescent="0.25">
      <c r="A1" s="7" t="s">
        <v>145</v>
      </c>
      <c r="B1" s="7" t="s">
        <v>146</v>
      </c>
      <c r="C1" s="7" t="s">
        <v>147</v>
      </c>
    </row>
    <row r="2" spans="1:3" ht="15" customHeight="1" x14ac:dyDescent="0.25">
      <c r="A2" s="9" t="s">
        <v>177</v>
      </c>
      <c r="B2" s="3">
        <v>0.99399999999999999</v>
      </c>
      <c r="C2" s="3" t="s">
        <v>155</v>
      </c>
    </row>
    <row r="3" spans="1:3" ht="15" customHeight="1" x14ac:dyDescent="0.25">
      <c r="A3" s="9" t="s">
        <v>178</v>
      </c>
      <c r="B3" s="3">
        <v>3.6950899999999999E-5</v>
      </c>
      <c r="C3" s="3" t="s">
        <v>179</v>
      </c>
    </row>
    <row r="4" spans="1:3" ht="15" customHeight="1" x14ac:dyDescent="0.25">
      <c r="A4" s="9" t="s">
        <v>180</v>
      </c>
      <c r="B4" s="3">
        <v>11.628251000000001</v>
      </c>
      <c r="C4" s="3" t="s">
        <v>181</v>
      </c>
    </row>
    <row r="5" spans="1:3" ht="15" customHeight="1" x14ac:dyDescent="0.25">
      <c r="A5" s="9" t="s">
        <v>182</v>
      </c>
      <c r="B5" s="3">
        <v>-1.1878</v>
      </c>
      <c r="C5" s="3" t="s">
        <v>183</v>
      </c>
    </row>
    <row r="6" spans="1:3" ht="15" customHeight="1" x14ac:dyDescent="0.25">
      <c r="A6" s="9" t="s">
        <v>184</v>
      </c>
      <c r="B6" s="3">
        <v>-8.4931999999999999</v>
      </c>
      <c r="C6" s="3" t="s">
        <v>185</v>
      </c>
    </row>
    <row r="7" spans="1:3" ht="15" customHeight="1" x14ac:dyDescent="0.25">
      <c r="A7" s="9" t="s">
        <v>166</v>
      </c>
      <c r="B7" s="3">
        <v>0</v>
      </c>
      <c r="C7" s="3" t="s">
        <v>167</v>
      </c>
    </row>
    <row r="8" spans="1:3" ht="15" customHeight="1" x14ac:dyDescent="0.25">
      <c r="A8" s="9" t="s">
        <v>168</v>
      </c>
      <c r="B8" s="3">
        <v>0.99399999999999999</v>
      </c>
      <c r="C8" s="3" t="s">
        <v>186</v>
      </c>
    </row>
    <row r="10" spans="1:3" ht="15" customHeight="1" x14ac:dyDescent="0.25">
      <c r="A10" s="10"/>
    </row>
    <row r="11" spans="1:3" ht="15" customHeight="1" x14ac:dyDescent="0.25">
      <c r="A11" s="4"/>
    </row>
    <row r="12" spans="1:3" ht="15" customHeight="1" x14ac:dyDescent="0.25">
      <c r="A12" s="4"/>
    </row>
    <row r="13" spans="1:3" ht="15" customHeight="1" x14ac:dyDescent="0.25">
      <c r="A13" s="4"/>
    </row>
    <row r="14" spans="1:3" ht="15" customHeight="1" x14ac:dyDescent="0.25">
      <c r="A14" s="4"/>
    </row>
    <row r="15" spans="1:3" ht="15" customHeight="1" x14ac:dyDescent="0.25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defaultColWidth="8.7109375" defaultRowHeight="15" x14ac:dyDescent="0.25"/>
  <cols>
    <col min="1" max="1" width="13" customWidth="1"/>
    <col min="2" max="2" width="12" customWidth="1"/>
  </cols>
  <sheetData>
    <row r="1" spans="1:2" x14ac:dyDescent="0.25">
      <c r="A1" s="11" t="s">
        <v>129</v>
      </c>
      <c r="B1" s="11" t="s">
        <v>187</v>
      </c>
    </row>
    <row r="2" spans="1:2" x14ac:dyDescent="0.25">
      <c r="A2" s="12">
        <v>1</v>
      </c>
      <c r="B2" s="3" t="s">
        <v>188</v>
      </c>
    </row>
    <row r="3" spans="1:2" x14ac:dyDescent="0.25">
      <c r="A3" s="12">
        <v>2</v>
      </c>
      <c r="B3" s="3" t="s">
        <v>188</v>
      </c>
    </row>
    <row r="4" spans="1:2" x14ac:dyDescent="0.25">
      <c r="A4" s="12">
        <v>3</v>
      </c>
      <c r="B4" s="3" t="s">
        <v>189</v>
      </c>
    </row>
    <row r="5" spans="1:2" x14ac:dyDescent="0.25">
      <c r="A5" s="12">
        <v>4</v>
      </c>
      <c r="B5" s="3" t="s">
        <v>189</v>
      </c>
    </row>
    <row r="6" spans="1:2" x14ac:dyDescent="0.25">
      <c r="A6" s="12">
        <v>5</v>
      </c>
      <c r="B6" s="3" t="s">
        <v>189</v>
      </c>
    </row>
    <row r="8" spans="1:2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defaultColWidth="8.7109375" defaultRowHeight="15" x14ac:dyDescent="0.25"/>
  <cols>
    <col min="1" max="2" width="12" customWidth="1"/>
    <col min="3" max="3" width="14" customWidth="1"/>
  </cols>
  <sheetData>
    <row r="1" spans="1:3" x14ac:dyDescent="0.25">
      <c r="A1" s="11" t="s">
        <v>187</v>
      </c>
      <c r="B1" s="11" t="s">
        <v>177</v>
      </c>
      <c r="C1" s="11" t="s">
        <v>190</v>
      </c>
    </row>
    <row r="2" spans="1:3" x14ac:dyDescent="0.25">
      <c r="A2" s="12" t="s">
        <v>188</v>
      </c>
      <c r="B2" s="3">
        <v>1.0541326</v>
      </c>
      <c r="C2" s="3">
        <v>-9.8126979999999999E-3</v>
      </c>
    </row>
    <row r="3" spans="1:3" x14ac:dyDescent="0.25">
      <c r="A3" s="12" t="s">
        <v>189</v>
      </c>
      <c r="B3" s="3">
        <v>1.0744899999999999</v>
      </c>
      <c r="C3" s="3">
        <v>-1.3431848999999999E-2</v>
      </c>
    </row>
    <row r="5" spans="1:3" x14ac:dyDescent="0.25">
      <c r="A5" s="13"/>
    </row>
    <row r="6" spans="1:3" x14ac:dyDescent="0.25">
      <c r="A6" s="4"/>
    </row>
    <row r="7" spans="1:3" x14ac:dyDescent="0.25">
      <c r="A7" s="4"/>
    </row>
    <row r="8" spans="1:3" x14ac:dyDescent="0.25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Biru, Moges Kidane</cp:lastModifiedBy>
  <cp:revision>0</cp:revision>
  <dcterms:created xsi:type="dcterms:W3CDTF">2026-07-07T16:55:22Z</dcterms:created>
  <dcterms:modified xsi:type="dcterms:W3CDTF">2026-07-08T02:09:06Z</dcterms:modified>
  <dc:language>en-US</dc:language>
</cp:coreProperties>
</file>