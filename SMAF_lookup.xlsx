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uflorida-my.sharepoint.com/personal/mohkam_singh_ufl_edu/Documents/Mohkam Singh - WORDLY/Research Projects/PhD Research/gSHAPE/SMAF for gSHAPE/"/>
    </mc:Choice>
  </mc:AlternateContent>
  <xr:revisionPtr revIDLastSave="0" documentId="8_{39853F55-285A-4AB7-8616-A9DF61BA0260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ph_factors" sheetId="14" r:id="rId1"/>
    <sheet name="crop_factors" sheetId="1" r:id="rId2"/>
    <sheet name="method_factors" sheetId="2" r:id="rId3"/>
    <sheet name="weathering_classes" sheetId="3" r:id="rId4"/>
    <sheet name="om_factors" sheetId="4" r:id="rId5"/>
    <sheet name="texture_factors" sheetId="5" r:id="rId6"/>
    <sheet name="slope_factors" sheetId="6" r:id="rId7"/>
    <sheet name="constants" sheetId="7" r:id="rId8"/>
    <sheet name="bd_texture_factors" sheetId="8" r:id="rId9"/>
    <sheet name="bd_mineralogy_factors" sheetId="9" r:id="rId10"/>
    <sheet name="bd_constants" sheetId="10" r:id="rId11"/>
    <sheet name="exk_texture_params" sheetId="11" r:id="rId12"/>
    <sheet name="exk_constants" sheetId="12" r:id="rId13"/>
    <sheet name="Sheet1" sheetId="13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08" i="1" l="1"/>
  <c r="E109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<sst xmlns="http://schemas.openxmlformats.org/spreadsheetml/2006/main" count="327" uniqueCount="201">
  <si>
    <t>Clean crop name</t>
  </si>
  <si>
    <t>pH_min</t>
  </si>
  <si>
    <t>pH_max</t>
  </si>
  <si>
    <t>apples</t>
  </si>
  <si>
    <t>avocado</t>
  </si>
  <si>
    <t>banana</t>
  </si>
  <si>
    <t>barley, malt barley</t>
  </si>
  <si>
    <t>beans, dried</t>
  </si>
  <si>
    <t>blueberries</t>
  </si>
  <si>
    <t>fava or broad bean</t>
  </si>
  <si>
    <t>buckwheat</t>
  </si>
  <si>
    <t>cabbage</t>
  </si>
  <si>
    <t>cantaloupe</t>
  </si>
  <si>
    <t>carrot</t>
  </si>
  <si>
    <t>pepper</t>
  </si>
  <si>
    <t>coffee</t>
  </si>
  <si>
    <t>corn, sweet</t>
  </si>
  <si>
    <t>corn, pop</t>
  </si>
  <si>
    <t>corn, grain</t>
  </si>
  <si>
    <t>cotton</t>
  </si>
  <si>
    <t>cowpea</t>
  </si>
  <si>
    <t>cucumber</t>
  </si>
  <si>
    <t>date</t>
  </si>
  <si>
    <t>garlic</t>
  </si>
  <si>
    <t>grape</t>
  </si>
  <si>
    <t>grapefruit</t>
  </si>
  <si>
    <t>peanut</t>
  </si>
  <si>
    <t>guava</t>
  </si>
  <si>
    <t>lentils</t>
  </si>
  <si>
    <t>lettuce</t>
  </si>
  <si>
    <t>flaxseed; flax</t>
  </si>
  <si>
    <t>millet</t>
  </si>
  <si>
    <t>oat</t>
  </si>
  <si>
    <t>olive</t>
  </si>
  <si>
    <t>onion</t>
  </si>
  <si>
    <t>orange</t>
  </si>
  <si>
    <t>papaya</t>
  </si>
  <si>
    <t>peach</t>
  </si>
  <si>
    <t>pea, field; peas</t>
  </si>
  <si>
    <t>pineapple</t>
  </si>
  <si>
    <t>potato</t>
  </si>
  <si>
    <t>squash, scallop</t>
  </si>
  <si>
    <t>rice, paddy</t>
  </si>
  <si>
    <t>pine, slash</t>
  </si>
  <si>
    <t>sorghum, grain sorghum</t>
  </si>
  <si>
    <t>soybean</t>
  </si>
  <si>
    <t>strawberry</t>
  </si>
  <si>
    <t>sugarcane</t>
  </si>
  <si>
    <t>sunflower</t>
  </si>
  <si>
    <t>sweet potato</t>
  </si>
  <si>
    <t>tobacco</t>
  </si>
  <si>
    <t>tomato</t>
  </si>
  <si>
    <t>triticale</t>
  </si>
  <si>
    <t>walnut</t>
  </si>
  <si>
    <t>watermelon</t>
  </si>
  <si>
    <t>wheat, durum</t>
  </si>
  <si>
    <t>zucchini</t>
  </si>
  <si>
    <t>wheat, spring</t>
  </si>
  <si>
    <t>winter wheat</t>
  </si>
  <si>
    <t>bermuda grass, coastal</t>
  </si>
  <si>
    <t>fescue, tall</t>
  </si>
  <si>
    <t>orchard grass</t>
  </si>
  <si>
    <t>timothy</t>
  </si>
  <si>
    <t>ryegrass, annual</t>
  </si>
  <si>
    <t>ryegrass, perennial</t>
  </si>
  <si>
    <t>alfalfa</t>
  </si>
  <si>
    <t>almond</t>
  </si>
  <si>
    <t>apricot</t>
  </si>
  <si>
    <t>asparagus</t>
  </si>
  <si>
    <t>beet, red</t>
  </si>
  <si>
    <t>blackberry</t>
  </si>
  <si>
    <t>bluegrass</t>
  </si>
  <si>
    <t>bluestem, big</t>
  </si>
  <si>
    <t>bluestem, little</t>
  </si>
  <si>
    <t>boysenberry</t>
  </si>
  <si>
    <t>broccoli</t>
  </si>
  <si>
    <t>cauliflower</t>
  </si>
  <si>
    <t>celery</t>
  </si>
  <si>
    <t>cherries</t>
  </si>
  <si>
    <t>clover, berseem</t>
  </si>
  <si>
    <t>clover, white</t>
  </si>
  <si>
    <t>cranberries</t>
  </si>
  <si>
    <t>foxtail, meadow</t>
  </si>
  <si>
    <t>hops</t>
  </si>
  <si>
    <t>indian grass</t>
  </si>
  <si>
    <t>johnsongrass</t>
  </si>
  <si>
    <t>macadamia orchards</t>
  </si>
  <si>
    <t>melon</t>
  </si>
  <si>
    <t>mulberry</t>
  </si>
  <si>
    <t>pear</t>
  </si>
  <si>
    <t>pecans</t>
  </si>
  <si>
    <t>pine, lodgepole</t>
  </si>
  <si>
    <t>pine, ponderosa</t>
  </si>
  <si>
    <t>plum</t>
  </si>
  <si>
    <t>poppy</t>
  </si>
  <si>
    <t>radish</t>
  </si>
  <si>
    <t>raspberry</t>
  </si>
  <si>
    <t>safflower</t>
  </si>
  <si>
    <t>sorghum</t>
  </si>
  <si>
    <t>spinach</t>
  </si>
  <si>
    <t>sudangrass</t>
  </si>
  <si>
    <t>sugarbeet</t>
  </si>
  <si>
    <t>turnip</t>
  </si>
  <si>
    <t>vetch</t>
  </si>
  <si>
    <t>pine, longleaf</t>
  </si>
  <si>
    <t>oak, southern red</t>
  </si>
  <si>
    <t>hickory</t>
  </si>
  <si>
    <t>oak</t>
  </si>
  <si>
    <t>cassava</t>
  </si>
  <si>
    <t>tea</t>
  </si>
  <si>
    <t>teff</t>
  </si>
  <si>
    <t>eucalyptus</t>
  </si>
  <si>
    <t>crop_code</t>
  </si>
  <si>
    <t>crop_name</t>
  </si>
  <si>
    <t>popt</t>
  </si>
  <si>
    <t>pmax</t>
  </si>
  <si>
    <t>b1</t>
  </si>
  <si>
    <t>clover, red, alsike, ladino, strawberry</t>
  </si>
  <si>
    <t>sorghum x sudan grass</t>
  </si>
  <si>
    <t>vetch, common or hairy</t>
  </si>
  <si>
    <t>oak, white</t>
  </si>
  <si>
    <t>method_code</t>
  </si>
  <si>
    <t>weathering_class</t>
  </si>
  <si>
    <t>method_factor</t>
  </si>
  <si>
    <t>meaning</t>
  </si>
  <si>
    <t>definition</t>
  </si>
  <si>
    <t>calcareous</t>
  </si>
  <si>
    <t>calcareous reaction class</t>
  </si>
  <si>
    <t>highly_weathered</t>
  </si>
  <si>
    <t>Ultisols, Oxisols, acidic Ochrepts, Quartzipsamments, Ultic Alfisols</t>
  </si>
  <si>
    <t>slightly_weathered</t>
  </si>
  <si>
    <t>all others</t>
  </si>
  <si>
    <t>om_class</t>
  </si>
  <si>
    <t>om_fp1_b2</t>
  </si>
  <si>
    <t>om_fp2_c2</t>
  </si>
  <si>
    <t>high</t>
  </si>
  <si>
    <t>mod_high</t>
  </si>
  <si>
    <t>mod_low</t>
  </si>
  <si>
    <t>low</t>
  </si>
  <si>
    <t>texture_code</t>
  </si>
  <si>
    <t>txt_fp1_b3</t>
  </si>
  <si>
    <t>txt_fp2_c3</t>
  </si>
  <si>
    <t>sand / loamy sand / sandy loam (&lt;8% clay)</t>
  </si>
  <si>
    <t>sandy loam (&gt;8% clay) / sandy clay loam / loam</t>
  </si>
  <si>
    <t>silt loam / silt</t>
  </si>
  <si>
    <t>sandy clay / clay loam / silty clay loam / silty clay / clay (&lt;60% clay)</t>
  </si>
  <si>
    <t>clay (&gt;60% clay)</t>
  </si>
  <si>
    <t>slope_class</t>
  </si>
  <si>
    <t>slope_fp1_envprotect</t>
  </si>
  <si>
    <t>slope_fp2_c1</t>
  </si>
  <si>
    <t>0-2%</t>
  </si>
  <si>
    <t>2-5%</t>
  </si>
  <si>
    <t>5-9%</t>
  </si>
  <si>
    <t>9-15%</t>
  </si>
  <si>
    <t>15%+</t>
  </si>
  <si>
    <t>param_name</t>
  </si>
  <si>
    <t>value</t>
  </si>
  <si>
    <t>description</t>
  </si>
  <si>
    <t>mmf_a</t>
  </si>
  <si>
    <t>MMF fixed parameter a</t>
  </si>
  <si>
    <t>mmf_c</t>
  </si>
  <si>
    <t>MMF fixed parameter c</t>
  </si>
  <si>
    <t>mmf_d</t>
  </si>
  <si>
    <t>MMF fixed exponent d</t>
  </si>
  <si>
    <t>weibull_a</t>
  </si>
  <si>
    <t>Weibull fixed parameter a</t>
  </si>
  <si>
    <t>weibull_b</t>
  </si>
  <si>
    <t>Weibull fixed parameter b</t>
  </si>
  <si>
    <t>weibull_d</t>
  </si>
  <si>
    <t>Weibull fixed exponent d</t>
  </si>
  <si>
    <t>b1_a_prime</t>
  </si>
  <si>
    <t>crop b1 intercept a'</t>
  </si>
  <si>
    <t>b1_b_prime</t>
  </si>
  <si>
    <t>crop b1 linear coef b' (NEGATIVE; source sheet dropped the sign)</t>
  </si>
  <si>
    <t>b1_c_prime</t>
  </si>
  <si>
    <t>crop b1 quadratic coef c'</t>
  </si>
  <si>
    <t>score_min</t>
  </si>
  <si>
    <t>lower clamp on final score</t>
  </si>
  <si>
    <t>score_max</t>
  </si>
  <si>
    <t>upper clamp on final score</t>
  </si>
  <si>
    <t>range_lo</t>
  </si>
  <si>
    <t>range_hi</t>
  </si>
  <si>
    <t>c1</t>
  </si>
  <si>
    <t>d1</t>
  </si>
  <si>
    <t>mineralogy_code</t>
  </si>
  <si>
    <t>range_shift</t>
  </si>
  <si>
    <t>delta_b</t>
  </si>
  <si>
    <t>a</t>
  </si>
  <si>
    <t>c2_coef_a</t>
  </si>
  <si>
    <t>c2 = c2_coef_a * exp(c2_coef_b * (range_lo + range_shift))</t>
  </si>
  <si>
    <t>c2_coef_b</t>
  </si>
  <si>
    <t>c2 exponent coefficient</t>
  </si>
  <si>
    <t>d2_coef_a</t>
  </si>
  <si>
    <t>d2 = d2_coef_a + d2_coef_b * (range_lo + range_shift)</t>
  </si>
  <si>
    <t>d2_coef_b</t>
  </si>
  <si>
    <t>d2 slope coefficient</t>
  </si>
  <si>
    <t>upper clamp (Weibull asymptote a)</t>
  </si>
  <si>
    <t>param_set</t>
  </si>
  <si>
    <t>coarse</t>
  </si>
  <si>
    <t>fine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</si>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</sst>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i/>
      <sz val="9"/>
      <color rgb="FF666666"/>
      <name val="Arial"/>
      <charset val="1"/>
    </font>
    <font>
      <b/>
      <sz val="9"/>
      <color rgb="FF1F4E5F"/>
      <name val="Arial"/>
      <charset val="1"/>
    </font>
    <font>
      <b/>
      <sz val="9"/>
      <color rgb="FF5A3E85"/>
      <name val="Arial"/>
      <charset val="1"/>
    </font>
    <font>
      <b/>
      <sz val="9"/>
      <color rgb="FF1E6B52"/>
      <name val="Arial"/>
      <charset val="1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0"/>
      <name val="Arial"/>
    </font>
  </fonts>
  <fills count="11">
    <fill>
      <patternFill patternType="none"/>
    </fill>
    <fill>
      <patternFill patternType="gray125"/>
    </fill>
    <fill>
      <patternFill patternType="solid">
        <fgColor rgb="FF1F4E5F"/>
        <bgColor rgb="FF1E6B52"/>
      </patternFill>
    </fill>
    <fill>
      <patternFill patternType="solid">
        <fgColor rgb="FFEAF1F3"/>
        <bgColor rgb="FFE6F0EB"/>
      </patternFill>
    </fill>
    <fill>
      <patternFill patternType="solid">
        <fgColor rgb="FF5A3E85"/>
        <bgColor rgb="FF666666"/>
      </patternFill>
    </fill>
    <fill>
      <patternFill patternType="solid">
        <fgColor rgb="FFEDE7F3"/>
        <bgColor rgb="FFEAF1F3"/>
      </patternFill>
    </fill>
    <fill>
      <patternFill patternType="solid">
        <fgColor rgb="FF1E6B52"/>
        <bgColor rgb="FF1F4E5F"/>
      </patternFill>
    </fill>
    <fill>
      <patternFill patternType="solid">
        <fgColor rgb="FFE6F0EB"/>
        <bgColor rgb="FFEAF1F3"/>
      </patternFill>
    </fill>
    <fill>
      <patternFill patternType="solid">
        <fgColor rgb="FFFFFF00"/>
        <bgColor rgb="FF000000"/>
      </patternFill>
    </fill>
    <fill>
      <patternFill patternType="solid">
        <fgColor rgb="FFDDD9C4"/>
        <bgColor rgb="FF000000"/>
      </patternFill>
    </fill>
    <fill>
      <patternFill patternType="solid">
        <fgColor rgb="FFC5D9F1"/>
        <bgColor rgb="FF000000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/>
    <xf numFmtId="0" fontId="3" fillId="0" borderId="0" xfId="0" applyFont="1"/>
    <xf numFmtId="0" fontId="2" fillId="3" borderId="1" xfId="0" applyFont="1" applyFill="1" applyBorder="1" applyAlignment="1">
      <alignment horizontal="left"/>
    </xf>
    <xf numFmtId="0" fontId="4" fillId="0" borderId="0" xfId="0" applyFont="1"/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left"/>
    </xf>
    <xf numFmtId="0" fontId="5" fillId="0" borderId="0" xfId="0" applyFont="1"/>
    <xf numFmtId="0" fontId="1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/>
    </xf>
    <xf numFmtId="0" fontId="6" fillId="0" borderId="0" xfId="0" applyFont="1"/>
    <xf numFmtId="0" fontId="8" fillId="0" borderId="0" xfId="0" applyFont="1"/>
    <xf numFmtId="0" fontId="7" fillId="0" borderId="0" xfId="0" applyFont="1"/>
    <xf numFmtId="0" fontId="9" fillId="0" borderId="1" xfId="0" applyFont="1" applyBorder="1"/>
    <xf numFmtId="0" fontId="10" fillId="0" borderId="0" xfId="0" applyFont="1"/>
    <xf numFmtId="0" fontId="11" fillId="8" borderId="0" xfId="0" applyFont="1" applyFill="1" applyAlignment="1">
      <alignment wrapText="1"/>
    </xf>
    <xf numFmtId="0" fontId="11" fillId="0" borderId="0" xfId="0" applyFont="1"/>
    <xf numFmtId="0" fontId="11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12" fillId="0" borderId="0" xfId="0" applyFont="1"/>
    <xf numFmtId="0" fontId="11" fillId="9" borderId="0" xfId="0" applyFont="1" applyFill="1" applyAlignment="1">
      <alignment wrapText="1"/>
    </xf>
    <xf numFmtId="0" fontId="11" fillId="10" borderId="0" xfId="0" applyFont="1" applyFill="1"/>
    <xf numFmtId="0" fontId="13" fillId="3" borderId="1" xfId="0" applyFont="1" applyFill="1" applyBorder="1" applyAlignment="1">
      <alignment horizontal="center"/>
    </xf>
    <xf numFmtId="0" fontId="13" fillId="0" borderId="1" xfId="0" applyFont="1" applyBorder="1"/>
  </cellXfs>
  <cellStyles count="1">
    <cellStyle name="Normal" xfId="0" builtinId="0"/>
  </cellStyles>
  <dxfs count="4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6B52"/>
      <rgbColor rgb="FFC0C0C0"/>
      <rgbColor rgb="FF808080"/>
      <rgbColor rgb="FF9999FF"/>
      <rgbColor rgb="FF993366"/>
      <rgbColor rgb="FFEDE7F3"/>
      <rgbColor rgb="FFE6F0EB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3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4E5F"/>
      <rgbColor rgb="FF339966"/>
      <rgbColor rgb="FF003300"/>
      <rgbColor rgb="FF333300"/>
      <rgbColor rgb="FF993300"/>
      <rgbColor rgb="FF993366"/>
      <rgbColor rgb="FF5A3E8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CC01C-BF2E-442A-817B-F6A0C0A3903D}">
  <dimension ref="A1:G110"/>
  <sheetViews>
    <sheetView topLeftCell="A92" workbookViewId="0">
      <selection activeCell="A110" sqref="A110"/>
    </sheetView>
  </sheetViews>
  <sheetFormatPr defaultRowHeight="15"/>
  <cols>
    <col min="1" max="1" width="26.140625" bestFit="1" customWidth="1"/>
    <col min="5" max="5" width="31.85546875" bestFit="1" customWidth="1"/>
  </cols>
  <sheetData>
    <row r="1" spans="1:7" ht="15.75">
      <c r="A1" s="14" t="s">
        <v>0</v>
      </c>
      <c r="B1" t="s">
        <v>1</v>
      </c>
      <c r="C1" t="s">
        <v>2</v>
      </c>
    </row>
    <row r="2" spans="1:7">
      <c r="A2" t="s">
        <v>3</v>
      </c>
      <c r="B2">
        <v>5.5</v>
      </c>
      <c r="C2">
        <v>7.5</v>
      </c>
      <c r="E2" s="3"/>
      <c r="G2" s="3"/>
    </row>
    <row r="3" spans="1:7">
      <c r="A3" t="s">
        <v>4</v>
      </c>
      <c r="B3">
        <v>6</v>
      </c>
      <c r="C3">
        <v>7.5</v>
      </c>
      <c r="E3" s="3"/>
      <c r="G3" s="3"/>
    </row>
    <row r="4" spans="1:7">
      <c r="A4" t="s">
        <v>5</v>
      </c>
      <c r="B4">
        <v>5</v>
      </c>
      <c r="C4">
        <v>7</v>
      </c>
      <c r="G4" s="3"/>
    </row>
    <row r="5" spans="1:7">
      <c r="A5" t="s">
        <v>6</v>
      </c>
      <c r="B5">
        <v>5.5</v>
      </c>
      <c r="C5">
        <v>6.5</v>
      </c>
      <c r="E5" s="3"/>
      <c r="G5" s="3"/>
    </row>
    <row r="6" spans="1:7">
      <c r="A6" s="15" t="s">
        <v>7</v>
      </c>
      <c r="B6" s="15">
        <v>6</v>
      </c>
      <c r="C6" s="15">
        <v>7</v>
      </c>
      <c r="E6" s="3"/>
      <c r="G6" s="3"/>
    </row>
    <row r="7" spans="1:7">
      <c r="A7" t="s">
        <v>8</v>
      </c>
      <c r="B7">
        <v>4.3</v>
      </c>
      <c r="C7">
        <v>5.5</v>
      </c>
      <c r="G7" s="3"/>
    </row>
    <row r="8" spans="1:7">
      <c r="A8" s="15" t="s">
        <v>9</v>
      </c>
      <c r="B8" s="15">
        <v>5.5</v>
      </c>
      <c r="C8" s="15">
        <v>6.7</v>
      </c>
      <c r="E8" s="3"/>
    </row>
    <row r="9" spans="1:7">
      <c r="A9" s="15" t="s">
        <v>10</v>
      </c>
      <c r="B9" s="15">
        <v>5.5</v>
      </c>
      <c r="C9" s="15">
        <v>7</v>
      </c>
      <c r="E9" s="3"/>
    </row>
    <row r="10" spans="1:7">
      <c r="A10" t="s">
        <v>11</v>
      </c>
      <c r="B10">
        <v>5.5</v>
      </c>
      <c r="C10">
        <v>7.5</v>
      </c>
      <c r="E10" s="3"/>
    </row>
    <row r="11" spans="1:7">
      <c r="A11" s="15" t="s">
        <v>12</v>
      </c>
      <c r="B11" s="15">
        <v>6.2</v>
      </c>
      <c r="C11" s="15">
        <v>6.8</v>
      </c>
      <c r="E11" s="3"/>
    </row>
    <row r="12" spans="1:7">
      <c r="A12" t="s">
        <v>13</v>
      </c>
      <c r="B12">
        <v>5.5</v>
      </c>
      <c r="C12">
        <v>7</v>
      </c>
      <c r="E12" s="3"/>
    </row>
    <row r="13" spans="1:7">
      <c r="A13" s="15" t="s">
        <v>14</v>
      </c>
      <c r="B13" s="15">
        <v>6</v>
      </c>
      <c r="C13" s="15">
        <v>6.8</v>
      </c>
      <c r="E13" s="3"/>
    </row>
    <row r="14" spans="1:7">
      <c r="A14" s="15" t="s">
        <v>15</v>
      </c>
      <c r="B14" s="15">
        <v>5</v>
      </c>
      <c r="C14" s="15">
        <v>6.5</v>
      </c>
      <c r="E14" s="3"/>
    </row>
    <row r="15" spans="1:7">
      <c r="A15" s="3" t="s">
        <v>16</v>
      </c>
      <c r="B15">
        <v>5.8</v>
      </c>
      <c r="C15">
        <v>6.2</v>
      </c>
      <c r="E15" s="3"/>
    </row>
    <row r="16" spans="1:7">
      <c r="A16" s="3" t="s">
        <v>17</v>
      </c>
      <c r="B16">
        <v>5.8</v>
      </c>
      <c r="C16">
        <v>6.2</v>
      </c>
      <c r="E16" s="3"/>
    </row>
    <row r="17" spans="1:7">
      <c r="A17" s="3" t="s">
        <v>18</v>
      </c>
      <c r="B17">
        <v>5.8</v>
      </c>
      <c r="C17">
        <v>6.2</v>
      </c>
      <c r="E17" s="3"/>
    </row>
    <row r="18" spans="1:7">
      <c r="A18" s="15" t="s">
        <v>19</v>
      </c>
      <c r="B18" s="15">
        <v>5.8</v>
      </c>
      <c r="C18" s="15">
        <v>6.5</v>
      </c>
      <c r="E18" s="3"/>
      <c r="F18" s="3"/>
      <c r="G18" s="3"/>
    </row>
    <row r="19" spans="1:7">
      <c r="A19" t="s">
        <v>20</v>
      </c>
      <c r="B19">
        <v>5.5</v>
      </c>
      <c r="C19">
        <v>7</v>
      </c>
      <c r="E19" s="3"/>
      <c r="F19" s="3"/>
      <c r="G19" s="3"/>
    </row>
    <row r="20" spans="1:7">
      <c r="A20" t="s">
        <v>21</v>
      </c>
      <c r="B20">
        <v>5.5</v>
      </c>
      <c r="C20">
        <v>7</v>
      </c>
      <c r="E20" s="3"/>
    </row>
    <row r="21" spans="1:7">
      <c r="A21" s="15" t="s">
        <v>22</v>
      </c>
      <c r="B21" s="15">
        <v>6</v>
      </c>
      <c r="C21" s="15">
        <v>7</v>
      </c>
      <c r="E21" s="3"/>
    </row>
    <row r="22" spans="1:7">
      <c r="A22" s="15" t="s">
        <v>23</v>
      </c>
      <c r="B22" s="15">
        <v>6</v>
      </c>
      <c r="C22" s="15">
        <v>7</v>
      </c>
      <c r="E22" s="3"/>
    </row>
    <row r="23" spans="1:7">
      <c r="A23" t="s">
        <v>24</v>
      </c>
      <c r="B23">
        <v>6</v>
      </c>
      <c r="C23">
        <v>7.5</v>
      </c>
      <c r="E23" s="3"/>
    </row>
    <row r="24" spans="1:7">
      <c r="A24" s="15" t="s">
        <v>25</v>
      </c>
      <c r="B24" s="15">
        <v>5.5</v>
      </c>
      <c r="C24" s="15">
        <v>6.5</v>
      </c>
      <c r="E24" s="3"/>
    </row>
    <row r="25" spans="1:7">
      <c r="A25" s="15" t="s">
        <v>26</v>
      </c>
      <c r="B25" s="15">
        <v>6</v>
      </c>
      <c r="C25" s="15">
        <v>6.5</v>
      </c>
      <c r="E25" s="3"/>
    </row>
    <row r="26" spans="1:7">
      <c r="A26" t="s">
        <v>27</v>
      </c>
      <c r="B26">
        <v>5.5</v>
      </c>
      <c r="C26">
        <v>6.8</v>
      </c>
      <c r="E26" s="3"/>
    </row>
    <row r="27" spans="1:7">
      <c r="A27" s="15" t="s">
        <v>28</v>
      </c>
      <c r="B27" s="15">
        <v>6</v>
      </c>
      <c r="C27" s="15">
        <v>8</v>
      </c>
      <c r="E27" s="3"/>
    </row>
    <row r="28" spans="1:7">
      <c r="A28" t="s">
        <v>29</v>
      </c>
      <c r="B28">
        <v>6</v>
      </c>
      <c r="C28">
        <v>7</v>
      </c>
      <c r="E28" s="3"/>
    </row>
    <row r="29" spans="1:7">
      <c r="A29" s="15" t="s">
        <v>30</v>
      </c>
      <c r="B29" s="15">
        <v>6</v>
      </c>
      <c r="C29" s="15">
        <v>7</v>
      </c>
      <c r="E29" s="3"/>
    </row>
    <row r="30" spans="1:7">
      <c r="A30" s="15" t="s">
        <v>31</v>
      </c>
      <c r="B30" s="15">
        <v>6</v>
      </c>
      <c r="C30" s="15">
        <v>7</v>
      </c>
      <c r="E30" s="3"/>
    </row>
    <row r="31" spans="1:7">
      <c r="A31" t="s">
        <v>32</v>
      </c>
      <c r="B31">
        <v>5.8</v>
      </c>
      <c r="C31">
        <v>7.2</v>
      </c>
      <c r="E31" s="3"/>
    </row>
    <row r="32" spans="1:7">
      <c r="A32" s="15" t="s">
        <v>33</v>
      </c>
      <c r="B32" s="15">
        <v>6</v>
      </c>
      <c r="C32" s="15">
        <v>8</v>
      </c>
      <c r="E32" s="3"/>
    </row>
    <row r="33" spans="1:5">
      <c r="A33" t="s">
        <v>34</v>
      </c>
      <c r="B33">
        <v>5.5</v>
      </c>
      <c r="C33">
        <v>7</v>
      </c>
      <c r="E33" s="3"/>
    </row>
    <row r="34" spans="1:5">
      <c r="A34" t="s">
        <v>35</v>
      </c>
      <c r="B34">
        <v>5.6</v>
      </c>
      <c r="C34">
        <v>6.5</v>
      </c>
      <c r="E34" s="3"/>
    </row>
    <row r="35" spans="1:5">
      <c r="A35" t="s">
        <v>36</v>
      </c>
      <c r="B35">
        <v>6</v>
      </c>
      <c r="C35">
        <v>7</v>
      </c>
      <c r="E35" s="3"/>
    </row>
    <row r="36" spans="1:5">
      <c r="A36" t="s">
        <v>37</v>
      </c>
      <c r="B36">
        <v>6</v>
      </c>
      <c r="C36">
        <v>7.5</v>
      </c>
      <c r="E36" s="3"/>
    </row>
    <row r="37" spans="1:5">
      <c r="A37" t="s">
        <v>38</v>
      </c>
      <c r="B37">
        <v>6</v>
      </c>
      <c r="C37">
        <v>7</v>
      </c>
      <c r="E37" s="3"/>
    </row>
    <row r="38" spans="1:5">
      <c r="A38" t="s">
        <v>39</v>
      </c>
      <c r="B38">
        <v>5</v>
      </c>
      <c r="C38">
        <v>6</v>
      </c>
      <c r="E38" s="3"/>
    </row>
    <row r="39" spans="1:5">
      <c r="A39" t="s">
        <v>40</v>
      </c>
      <c r="B39">
        <v>5</v>
      </c>
      <c r="C39">
        <v>5.5</v>
      </c>
      <c r="E39" s="3"/>
    </row>
    <row r="40" spans="1:5">
      <c r="A40" s="15" t="s">
        <v>41</v>
      </c>
      <c r="B40" s="15">
        <v>6</v>
      </c>
      <c r="C40" s="15">
        <v>6.8</v>
      </c>
      <c r="E40" s="3"/>
    </row>
    <row r="41" spans="1:5">
      <c r="A41" t="s">
        <v>42</v>
      </c>
      <c r="B41">
        <v>5.5</v>
      </c>
      <c r="C41">
        <v>7.5</v>
      </c>
      <c r="E41" s="3"/>
    </row>
    <row r="42" spans="1:5">
      <c r="A42" s="15" t="s">
        <v>43</v>
      </c>
      <c r="B42" s="15">
        <v>4</v>
      </c>
      <c r="C42" s="15">
        <v>6</v>
      </c>
      <c r="E42" s="3"/>
    </row>
    <row r="43" spans="1:5">
      <c r="A43" t="s">
        <v>44</v>
      </c>
      <c r="B43">
        <v>5.5</v>
      </c>
      <c r="C43">
        <v>7</v>
      </c>
      <c r="E43" s="3"/>
    </row>
    <row r="44" spans="1:5">
      <c r="A44" t="s">
        <v>45</v>
      </c>
      <c r="B44">
        <v>5.5</v>
      </c>
      <c r="C44">
        <v>7</v>
      </c>
      <c r="E44" s="3"/>
    </row>
    <row r="45" spans="1:5">
      <c r="A45" t="s">
        <v>46</v>
      </c>
      <c r="B45">
        <v>5</v>
      </c>
      <c r="C45">
        <v>6.5</v>
      </c>
      <c r="E45" s="3"/>
    </row>
    <row r="46" spans="1:5">
      <c r="A46" t="s">
        <v>47</v>
      </c>
      <c r="B46">
        <v>5</v>
      </c>
      <c r="C46">
        <v>8</v>
      </c>
      <c r="E46" s="3"/>
    </row>
    <row r="47" spans="1:5">
      <c r="A47" s="15" t="s">
        <v>48</v>
      </c>
      <c r="B47" s="15">
        <v>6.5</v>
      </c>
      <c r="C47" s="15">
        <v>7.5</v>
      </c>
      <c r="E47" s="3"/>
    </row>
    <row r="48" spans="1:5">
      <c r="A48" t="s">
        <v>49</v>
      </c>
      <c r="B48">
        <v>5</v>
      </c>
      <c r="C48">
        <v>6</v>
      </c>
      <c r="E48" s="3"/>
    </row>
    <row r="49" spans="1:5">
      <c r="A49" t="s">
        <v>50</v>
      </c>
      <c r="B49">
        <v>5</v>
      </c>
      <c r="C49">
        <v>6</v>
      </c>
      <c r="E49" s="3"/>
    </row>
    <row r="50" spans="1:5">
      <c r="A50" t="s">
        <v>51</v>
      </c>
      <c r="B50">
        <v>5.5</v>
      </c>
      <c r="C50">
        <v>7</v>
      </c>
      <c r="E50" s="3"/>
    </row>
    <row r="51" spans="1:5">
      <c r="A51" s="16" t="s">
        <v>52</v>
      </c>
      <c r="B51" s="15">
        <v>6</v>
      </c>
      <c r="C51" s="15">
        <v>7</v>
      </c>
      <c r="E51" s="3"/>
    </row>
    <row r="52" spans="1:5">
      <c r="A52" s="15" t="s">
        <v>53</v>
      </c>
      <c r="B52" s="15">
        <v>6</v>
      </c>
      <c r="C52" s="15">
        <v>6.5</v>
      </c>
      <c r="E52" s="3"/>
    </row>
    <row r="53" spans="1:5">
      <c r="A53" s="15" t="s">
        <v>54</v>
      </c>
      <c r="B53" s="15">
        <v>6</v>
      </c>
      <c r="C53" s="15">
        <v>7</v>
      </c>
      <c r="E53" s="3"/>
    </row>
    <row r="54" spans="1:5">
      <c r="A54" t="s">
        <v>55</v>
      </c>
      <c r="B54">
        <v>5.5</v>
      </c>
      <c r="C54">
        <v>7</v>
      </c>
      <c r="E54" s="3"/>
    </row>
    <row r="55" spans="1:5">
      <c r="A55" s="17" t="s">
        <v>56</v>
      </c>
      <c r="B55" s="15">
        <v>6</v>
      </c>
      <c r="C55" s="15">
        <v>6.8</v>
      </c>
      <c r="E55" s="3"/>
    </row>
    <row r="56" spans="1:5">
      <c r="A56" t="s">
        <v>57</v>
      </c>
      <c r="B56">
        <v>5.5</v>
      </c>
      <c r="C56">
        <v>7</v>
      </c>
      <c r="E56" s="3"/>
    </row>
    <row r="57" spans="1:5">
      <c r="A57" t="s">
        <v>58</v>
      </c>
      <c r="B57">
        <v>5.5</v>
      </c>
      <c r="C57">
        <v>7</v>
      </c>
      <c r="E57" s="3"/>
    </row>
    <row r="58" spans="1:5">
      <c r="A58" s="3" t="s">
        <v>59</v>
      </c>
      <c r="B58">
        <v>5.8</v>
      </c>
      <c r="C58">
        <v>7</v>
      </c>
      <c r="E58" s="3"/>
    </row>
    <row r="59" spans="1:5">
      <c r="A59" s="3" t="s">
        <v>60</v>
      </c>
      <c r="B59">
        <v>5.8</v>
      </c>
      <c r="C59">
        <v>7</v>
      </c>
      <c r="E59" s="3"/>
    </row>
    <row r="60" spans="1:5">
      <c r="A60" s="3" t="s">
        <v>61</v>
      </c>
      <c r="B60">
        <v>5.8</v>
      </c>
      <c r="C60">
        <v>7</v>
      </c>
      <c r="E60" s="3"/>
    </row>
    <row r="61" spans="1:5">
      <c r="A61" s="3" t="s">
        <v>62</v>
      </c>
      <c r="B61">
        <v>5.8</v>
      </c>
      <c r="C61">
        <v>7</v>
      </c>
      <c r="E61" s="3"/>
    </row>
    <row r="62" spans="1:5">
      <c r="A62" s="3" t="s">
        <v>63</v>
      </c>
      <c r="B62">
        <v>5.8</v>
      </c>
      <c r="C62">
        <v>7</v>
      </c>
      <c r="E62" s="3"/>
    </row>
    <row r="63" spans="1:5">
      <c r="A63" s="3" t="s">
        <v>64</v>
      </c>
      <c r="B63">
        <v>5.8</v>
      </c>
      <c r="C63">
        <v>7</v>
      </c>
      <c r="E63" s="3"/>
    </row>
    <row r="64" spans="1:5">
      <c r="A64" s="18" t="s">
        <v>65</v>
      </c>
      <c r="B64" s="19">
        <v>6.5</v>
      </c>
      <c r="C64" s="19">
        <v>7.5</v>
      </c>
      <c r="E64" s="3"/>
    </row>
    <row r="65" spans="1:5">
      <c r="A65" s="20" t="s">
        <v>66</v>
      </c>
      <c r="B65" s="19">
        <v>6</v>
      </c>
      <c r="C65" s="19">
        <v>7</v>
      </c>
      <c r="E65" s="3"/>
    </row>
    <row r="66" spans="1:5">
      <c r="A66" s="20" t="s">
        <v>67</v>
      </c>
      <c r="B66" s="19">
        <v>6</v>
      </c>
      <c r="C66" s="19">
        <v>7</v>
      </c>
      <c r="E66" s="3"/>
    </row>
    <row r="67" spans="1:5">
      <c r="A67" s="20" t="s">
        <v>68</v>
      </c>
      <c r="B67" s="19">
        <v>6</v>
      </c>
      <c r="C67" s="19">
        <v>8</v>
      </c>
      <c r="E67" s="3"/>
    </row>
    <row r="68" spans="1:5">
      <c r="A68" s="20" t="s">
        <v>69</v>
      </c>
      <c r="B68" s="19">
        <v>5.5</v>
      </c>
      <c r="C68" s="19">
        <v>7.5</v>
      </c>
      <c r="E68" s="3"/>
    </row>
    <row r="69" spans="1:5">
      <c r="A69" s="20" t="s">
        <v>70</v>
      </c>
      <c r="B69" s="19">
        <v>5.5</v>
      </c>
      <c r="C69" s="19">
        <v>7</v>
      </c>
      <c r="E69" s="3"/>
    </row>
    <row r="70" spans="1:5">
      <c r="A70" s="20" t="s">
        <v>71</v>
      </c>
      <c r="B70" s="19">
        <v>6</v>
      </c>
      <c r="C70" s="19">
        <v>7.5</v>
      </c>
      <c r="E70" s="3"/>
    </row>
    <row r="71" spans="1:5">
      <c r="A71" s="20" t="s">
        <v>72</v>
      </c>
      <c r="B71" s="19">
        <v>6</v>
      </c>
      <c r="C71" s="19">
        <v>8</v>
      </c>
      <c r="E71" s="3"/>
    </row>
    <row r="72" spans="1:5">
      <c r="A72" s="20" t="s">
        <v>73</v>
      </c>
      <c r="B72" s="19">
        <v>6</v>
      </c>
      <c r="C72" s="19">
        <v>8</v>
      </c>
      <c r="E72" s="3"/>
    </row>
    <row r="73" spans="1:5">
      <c r="A73" s="20" t="s">
        <v>74</v>
      </c>
      <c r="B73" s="19">
        <v>5.5</v>
      </c>
      <c r="C73" s="19">
        <v>6.5</v>
      </c>
      <c r="E73" s="3"/>
    </row>
    <row r="74" spans="1:5">
      <c r="A74" s="20" t="s">
        <v>75</v>
      </c>
      <c r="B74" s="19">
        <v>6</v>
      </c>
      <c r="C74" s="19">
        <v>7</v>
      </c>
      <c r="E74" s="3"/>
    </row>
    <row r="75" spans="1:5">
      <c r="A75" s="20" t="s">
        <v>76</v>
      </c>
      <c r="B75" s="19">
        <v>5.5</v>
      </c>
      <c r="C75" s="19">
        <v>7.5</v>
      </c>
      <c r="E75" s="3"/>
    </row>
    <row r="76" spans="1:5">
      <c r="A76" s="20" t="s">
        <v>77</v>
      </c>
      <c r="B76" s="19">
        <v>6</v>
      </c>
      <c r="C76" s="19">
        <v>7</v>
      </c>
      <c r="E76" s="3"/>
    </row>
    <row r="77" spans="1:5">
      <c r="A77" s="20" t="s">
        <v>78</v>
      </c>
      <c r="B77" s="19">
        <v>6</v>
      </c>
      <c r="C77" s="19">
        <v>7.5</v>
      </c>
      <c r="E77" s="3"/>
    </row>
    <row r="78" spans="1:5">
      <c r="A78" s="21" t="s">
        <v>79</v>
      </c>
      <c r="B78" s="22">
        <v>6</v>
      </c>
      <c r="C78" s="22">
        <v>7</v>
      </c>
      <c r="E78" s="3"/>
    </row>
    <row r="79" spans="1:5">
      <c r="A79" s="21" t="s">
        <v>80</v>
      </c>
      <c r="B79" s="22">
        <v>5.5</v>
      </c>
      <c r="C79" s="22">
        <v>7.5</v>
      </c>
      <c r="E79" s="3"/>
    </row>
    <row r="80" spans="1:5">
      <c r="A80" s="20" t="s">
        <v>81</v>
      </c>
      <c r="B80" s="22">
        <v>4</v>
      </c>
      <c r="C80" s="22">
        <v>5</v>
      </c>
      <c r="E80" s="3"/>
    </row>
    <row r="81" spans="1:5">
      <c r="A81" s="20" t="s">
        <v>82</v>
      </c>
      <c r="B81" s="22">
        <v>6.5</v>
      </c>
      <c r="C81" s="22">
        <v>7</v>
      </c>
      <c r="E81" s="3"/>
    </row>
    <row r="82" spans="1:5">
      <c r="A82" s="20" t="s">
        <v>83</v>
      </c>
      <c r="B82" s="19">
        <v>6</v>
      </c>
      <c r="C82" s="19">
        <v>7.5</v>
      </c>
      <c r="E82" s="3"/>
    </row>
    <row r="83" spans="1:5">
      <c r="A83" s="20" t="s">
        <v>84</v>
      </c>
      <c r="B83" s="19">
        <v>5.5</v>
      </c>
      <c r="C83" s="19">
        <v>7</v>
      </c>
      <c r="E83" s="3"/>
    </row>
    <row r="84" spans="1:5">
      <c r="A84" s="20" t="s">
        <v>85</v>
      </c>
      <c r="B84" s="22">
        <v>5.5</v>
      </c>
      <c r="C84" s="22">
        <v>7.5</v>
      </c>
      <c r="E84" s="3"/>
    </row>
    <row r="85" spans="1:5">
      <c r="A85" s="20" t="s">
        <v>86</v>
      </c>
      <c r="B85" s="19">
        <v>5</v>
      </c>
      <c r="C85" s="19">
        <v>6.5</v>
      </c>
      <c r="E85" s="3"/>
    </row>
    <row r="86" spans="1:5">
      <c r="A86" s="20" t="s">
        <v>87</v>
      </c>
      <c r="B86" s="19">
        <v>5.5</v>
      </c>
      <c r="C86" s="19">
        <v>6.5</v>
      </c>
      <c r="E86" s="3"/>
    </row>
    <row r="87" spans="1:5">
      <c r="A87" s="20" t="s">
        <v>88</v>
      </c>
      <c r="B87" s="19">
        <v>6</v>
      </c>
      <c r="C87" s="19">
        <v>7.5</v>
      </c>
      <c r="E87" s="3"/>
    </row>
    <row r="88" spans="1:5">
      <c r="A88" s="20" t="s">
        <v>89</v>
      </c>
      <c r="B88" s="19">
        <v>5</v>
      </c>
      <c r="C88" s="19">
        <v>6.5</v>
      </c>
      <c r="E88" s="3"/>
    </row>
    <row r="89" spans="1:5">
      <c r="A89" s="20" t="s">
        <v>90</v>
      </c>
      <c r="B89" s="19">
        <v>5.5</v>
      </c>
      <c r="C89" s="19">
        <v>6.5</v>
      </c>
      <c r="E89" s="3"/>
    </row>
    <row r="90" spans="1:5">
      <c r="A90" s="20" t="s">
        <v>91</v>
      </c>
      <c r="B90" s="19">
        <v>5</v>
      </c>
      <c r="C90" s="19">
        <v>6</v>
      </c>
      <c r="E90" s="3"/>
    </row>
    <row r="91" spans="1:5">
      <c r="A91" s="20" t="s">
        <v>92</v>
      </c>
      <c r="B91" s="19">
        <v>5</v>
      </c>
      <c r="C91" s="19">
        <v>6</v>
      </c>
      <c r="E91" s="3"/>
    </row>
    <row r="92" spans="1:5">
      <c r="A92" s="20" t="s">
        <v>93</v>
      </c>
      <c r="B92" s="19">
        <v>5.6</v>
      </c>
      <c r="C92" s="19">
        <v>7.5</v>
      </c>
      <c r="E92" s="3"/>
    </row>
    <row r="93" spans="1:5">
      <c r="A93" s="20" t="s">
        <v>94</v>
      </c>
      <c r="B93" s="19">
        <v>6</v>
      </c>
      <c r="C93" s="19">
        <v>7.5</v>
      </c>
      <c r="E93" s="3"/>
    </row>
    <row r="94" spans="1:5">
      <c r="A94" s="20" t="s">
        <v>95</v>
      </c>
      <c r="B94" s="19">
        <v>6</v>
      </c>
      <c r="C94" s="19">
        <v>7</v>
      </c>
      <c r="E94" s="3"/>
    </row>
    <row r="95" spans="1:5">
      <c r="A95" s="20" t="s">
        <v>96</v>
      </c>
      <c r="B95" s="19">
        <v>5.5</v>
      </c>
      <c r="C95" s="19">
        <v>6.5</v>
      </c>
      <c r="E95" s="3"/>
    </row>
    <row r="96" spans="1:5">
      <c r="A96" s="20" t="s">
        <v>97</v>
      </c>
      <c r="B96" s="19">
        <v>6</v>
      </c>
      <c r="C96" s="19">
        <v>7.5</v>
      </c>
      <c r="E96" s="3"/>
    </row>
    <row r="97" spans="1:5">
      <c r="A97" s="20" t="s">
        <v>98</v>
      </c>
      <c r="B97" s="19">
        <v>6</v>
      </c>
      <c r="C97" s="19">
        <v>7.5</v>
      </c>
      <c r="E97" s="3"/>
    </row>
    <row r="98" spans="1:5">
      <c r="A98" s="20" t="s">
        <v>99</v>
      </c>
      <c r="B98" s="19">
        <v>6</v>
      </c>
      <c r="C98" s="19">
        <v>7.5</v>
      </c>
      <c r="E98" s="3"/>
    </row>
    <row r="99" spans="1:5">
      <c r="A99" s="23" t="s">
        <v>100</v>
      </c>
      <c r="B99" s="19">
        <v>6</v>
      </c>
      <c r="C99" s="19">
        <v>7.5</v>
      </c>
      <c r="E99" s="3"/>
    </row>
    <row r="100" spans="1:5">
      <c r="A100" s="20" t="s">
        <v>101</v>
      </c>
      <c r="B100" s="19">
        <v>6</v>
      </c>
      <c r="C100" s="19">
        <v>7.5</v>
      </c>
      <c r="E100" s="3"/>
    </row>
    <row r="101" spans="1:5">
      <c r="A101" s="20" t="s">
        <v>102</v>
      </c>
      <c r="B101" s="19">
        <v>5.5</v>
      </c>
      <c r="C101" s="19">
        <v>6</v>
      </c>
      <c r="E101" s="3"/>
    </row>
    <row r="102" spans="1:5">
      <c r="A102" s="20" t="s">
        <v>103</v>
      </c>
      <c r="B102" s="19">
        <v>5.5</v>
      </c>
      <c r="C102" s="19">
        <v>7</v>
      </c>
      <c r="E102" s="3"/>
    </row>
    <row r="103" spans="1:5">
      <c r="A103" s="20" t="s">
        <v>104</v>
      </c>
      <c r="B103" s="19">
        <v>4.5</v>
      </c>
      <c r="C103" s="19">
        <v>7.5</v>
      </c>
      <c r="E103" s="3"/>
    </row>
    <row r="104" spans="1:5">
      <c r="A104" s="20" t="s">
        <v>105</v>
      </c>
      <c r="B104" s="19">
        <v>5</v>
      </c>
      <c r="C104" s="19">
        <v>7.5</v>
      </c>
      <c r="E104" s="3"/>
    </row>
    <row r="105" spans="1:5">
      <c r="A105" s="20" t="s">
        <v>106</v>
      </c>
      <c r="B105" s="19">
        <v>4.5</v>
      </c>
      <c r="C105" s="19">
        <v>7.5</v>
      </c>
      <c r="E105" s="3"/>
    </row>
    <row r="106" spans="1:5">
      <c r="A106" s="20" t="s">
        <v>107</v>
      </c>
      <c r="B106" s="19">
        <v>5</v>
      </c>
      <c r="C106" s="19">
        <v>7.5</v>
      </c>
      <c r="E106" s="3"/>
    </row>
    <row r="107" spans="1:5">
      <c r="A107" s="19" t="s">
        <v>108</v>
      </c>
      <c r="B107" s="19">
        <v>5.5</v>
      </c>
      <c r="C107" s="19">
        <v>7</v>
      </c>
      <c r="E107" s="3"/>
    </row>
    <row r="108" spans="1:5">
      <c r="A108" s="24" t="s">
        <v>109</v>
      </c>
      <c r="B108" s="24">
        <v>4.5</v>
      </c>
      <c r="C108" s="24">
        <v>5.5</v>
      </c>
      <c r="E108" s="3"/>
    </row>
    <row r="109" spans="1:5">
      <c r="A109" s="20" t="s">
        <v>110</v>
      </c>
      <c r="B109" s="19">
        <v>5</v>
      </c>
      <c r="C109" s="19">
        <v>6.5</v>
      </c>
    </row>
    <row r="110" spans="1:5">
      <c r="A110" s="20" t="s">
        <v>111</v>
      </c>
      <c r="B110" s="19">
        <v>4.5</v>
      </c>
      <c r="C110" s="19">
        <v>6.5</v>
      </c>
    </row>
  </sheetData>
  <conditionalFormatting sqref="A15:A17">
    <cfRule type="duplicateValues" dxfId="40" priority="20"/>
  </conditionalFormatting>
  <conditionalFormatting sqref="A51">
    <cfRule type="duplicateValues" dxfId="39" priority="16"/>
    <cfRule type="duplicateValues" dxfId="38" priority="17"/>
  </conditionalFormatting>
  <conditionalFormatting sqref="A58">
    <cfRule type="duplicateValues" dxfId="37" priority="13"/>
    <cfRule type="duplicateValues" dxfId="36" priority="14"/>
    <cfRule type="duplicateValues" dxfId="35" priority="15"/>
  </conditionalFormatting>
  <conditionalFormatting sqref="A59">
    <cfRule type="duplicateValues" dxfId="34" priority="10"/>
    <cfRule type="duplicateValues" dxfId="33" priority="11"/>
    <cfRule type="duplicateValues" dxfId="32" priority="12"/>
  </conditionalFormatting>
  <conditionalFormatting sqref="A60">
    <cfRule type="duplicateValues" dxfId="31" priority="7"/>
    <cfRule type="duplicateValues" dxfId="30" priority="8"/>
    <cfRule type="duplicateValues" dxfId="29" priority="9"/>
  </conditionalFormatting>
  <conditionalFormatting sqref="A61">
    <cfRule type="duplicateValues" dxfId="28" priority="4"/>
    <cfRule type="duplicateValues" dxfId="27" priority="5"/>
    <cfRule type="duplicateValues" dxfId="26" priority="6"/>
  </conditionalFormatting>
  <conditionalFormatting sqref="A62:A63">
    <cfRule type="duplicateValues" dxfId="25" priority="1"/>
    <cfRule type="duplicateValues" dxfId="24" priority="2"/>
    <cfRule type="duplicateValues" dxfId="23" priority="3"/>
  </conditionalFormatting>
  <conditionalFormatting sqref="F18:G19">
    <cfRule type="duplicateValues" dxfId="22" priority="2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2"/>
  <sheetViews>
    <sheetView tabSelected="1" zoomScaleNormal="100" workbookViewId="0">
      <pane ySplit="1" topLeftCell="A85" activePane="bottomLeft" state="frozen"/>
      <selection pane="bottomLeft" activeCell="C108" sqref="C108:E108"/>
    </sheetView>
  </sheetViews>
  <sheetFormatPr defaultColWidth="8.7109375" defaultRowHeight="15"/>
  <cols>
    <col min="1" max="1" width="11" customWidth="1"/>
    <col min="2" max="2" width="42" customWidth="1"/>
    <col min="3" max="4" width="8" customWidth="1"/>
    <col min="5" max="5" width="12" customWidth="1"/>
  </cols>
  <sheetData>
    <row r="1" spans="1:5" ht="15" customHeight="1">
      <c r="A1" s="1" t="s">
        <v>112</v>
      </c>
      <c r="B1" s="1" t="s">
        <v>113</v>
      </c>
      <c r="C1" s="1" t="s">
        <v>114</v>
      </c>
      <c r="D1" s="1" t="s">
        <v>115</v>
      </c>
      <c r="E1" s="1" t="s">
        <v>116</v>
      </c>
    </row>
    <row r="2" spans="1:5" ht="15" customHeight="1">
      <c r="A2" s="2">
        <v>1</v>
      </c>
      <c r="B2" s="3" t="s">
        <v>65</v>
      </c>
      <c r="C2" s="3">
        <v>23</v>
      </c>
      <c r="D2" s="3">
        <v>29</v>
      </c>
      <c r="E2" s="3">
        <f t="shared" ref="E2:E33" si="0">213.96744-39.579185*C2+2.3020512*C2^2</f>
        <v>521.4312698</v>
      </c>
    </row>
    <row r="3" spans="1:5" ht="15" customHeight="1">
      <c r="A3" s="2">
        <v>2</v>
      </c>
      <c r="B3" s="3" t="s">
        <v>66</v>
      </c>
      <c r="C3" s="3">
        <v>19</v>
      </c>
      <c r="D3" s="3">
        <v>25</v>
      </c>
      <c r="E3" s="3">
        <f t="shared" si="0"/>
        <v>293.00340819999997</v>
      </c>
    </row>
    <row r="4" spans="1:5" ht="15" customHeight="1">
      <c r="A4" s="2">
        <v>3</v>
      </c>
      <c r="B4" s="3" t="s">
        <v>3</v>
      </c>
      <c r="C4" s="3">
        <v>19</v>
      </c>
      <c r="D4" s="3">
        <v>25</v>
      </c>
      <c r="E4" s="3">
        <f t="shared" si="0"/>
        <v>293.00340819999997</v>
      </c>
    </row>
    <row r="5" spans="1:5" ht="15" customHeight="1">
      <c r="A5" s="2">
        <v>4</v>
      </c>
      <c r="B5" s="3" t="s">
        <v>67</v>
      </c>
      <c r="C5" s="3">
        <v>19</v>
      </c>
      <c r="D5" s="3">
        <v>25</v>
      </c>
      <c r="E5" s="3">
        <f t="shared" si="0"/>
        <v>293.00340819999997</v>
      </c>
    </row>
    <row r="6" spans="1:5" ht="15" customHeight="1">
      <c r="A6" s="2">
        <v>5</v>
      </c>
      <c r="B6" s="3" t="s">
        <v>68</v>
      </c>
      <c r="C6" s="3">
        <v>19</v>
      </c>
      <c r="D6" s="3">
        <v>25</v>
      </c>
      <c r="E6" s="3">
        <f t="shared" si="0"/>
        <v>293.00340819999997</v>
      </c>
    </row>
    <row r="7" spans="1:5" ht="15" customHeight="1">
      <c r="A7" s="2">
        <v>6</v>
      </c>
      <c r="B7" s="3" t="s">
        <v>4</v>
      </c>
      <c r="C7" s="3">
        <v>19</v>
      </c>
      <c r="D7" s="3">
        <v>25</v>
      </c>
      <c r="E7" s="3">
        <f t="shared" si="0"/>
        <v>293.00340819999997</v>
      </c>
    </row>
    <row r="8" spans="1:5" ht="15" customHeight="1">
      <c r="A8" s="2">
        <v>7</v>
      </c>
      <c r="B8" s="3" t="s">
        <v>5</v>
      </c>
      <c r="C8" s="3">
        <v>19</v>
      </c>
      <c r="D8" s="3">
        <v>25</v>
      </c>
      <c r="E8" s="3">
        <f t="shared" si="0"/>
        <v>293.00340819999997</v>
      </c>
    </row>
    <row r="9" spans="1:5" ht="15" customHeight="1">
      <c r="A9" s="2">
        <v>8</v>
      </c>
      <c r="B9" s="3" t="s">
        <v>6</v>
      </c>
      <c r="C9" s="3">
        <v>19</v>
      </c>
      <c r="D9" s="3">
        <v>25</v>
      </c>
      <c r="E9" s="3">
        <f t="shared" si="0"/>
        <v>293.00340819999997</v>
      </c>
    </row>
    <row r="10" spans="1:5" ht="15" customHeight="1">
      <c r="A10" s="2">
        <v>9</v>
      </c>
      <c r="B10" s="3" t="s">
        <v>7</v>
      </c>
      <c r="C10" s="3">
        <v>20</v>
      </c>
      <c r="D10" s="3">
        <v>26</v>
      </c>
      <c r="E10" s="3">
        <f t="shared" si="0"/>
        <v>343.20422000000008</v>
      </c>
    </row>
    <row r="11" spans="1:5" ht="15" customHeight="1">
      <c r="A11" s="2">
        <v>10</v>
      </c>
      <c r="B11" s="3" t="s">
        <v>69</v>
      </c>
      <c r="C11" s="3">
        <v>19</v>
      </c>
      <c r="D11" s="3">
        <v>25</v>
      </c>
      <c r="E11" s="3">
        <f t="shared" si="0"/>
        <v>293.00340819999997</v>
      </c>
    </row>
    <row r="12" spans="1:5" ht="15" customHeight="1">
      <c r="A12" s="2">
        <v>11</v>
      </c>
      <c r="B12" s="3" t="s">
        <v>59</v>
      </c>
      <c r="C12" s="3">
        <v>19</v>
      </c>
      <c r="D12" s="3">
        <v>25</v>
      </c>
      <c r="E12" s="3">
        <f t="shared" si="0"/>
        <v>293.00340819999997</v>
      </c>
    </row>
    <row r="13" spans="1:5" ht="15" customHeight="1">
      <c r="A13" s="2">
        <v>12</v>
      </c>
      <c r="B13" s="3" t="s">
        <v>70</v>
      </c>
      <c r="C13" s="3">
        <v>19</v>
      </c>
      <c r="D13" s="3">
        <v>25</v>
      </c>
      <c r="E13" s="3">
        <f t="shared" si="0"/>
        <v>293.00340819999997</v>
      </c>
    </row>
    <row r="14" spans="1:5" ht="15" customHeight="1">
      <c r="A14" s="2">
        <v>13</v>
      </c>
      <c r="B14" s="3" t="s">
        <v>8</v>
      </c>
      <c r="C14" s="3">
        <v>19</v>
      </c>
      <c r="D14" s="3">
        <v>25</v>
      </c>
      <c r="E14" s="3">
        <f t="shared" si="0"/>
        <v>293.00340819999997</v>
      </c>
    </row>
    <row r="15" spans="1:5" ht="15" customHeight="1">
      <c r="A15" s="2">
        <v>14</v>
      </c>
      <c r="B15" s="3" t="s">
        <v>71</v>
      </c>
      <c r="C15" s="3">
        <v>19</v>
      </c>
      <c r="D15" s="3">
        <v>6</v>
      </c>
      <c r="E15" s="3">
        <f t="shared" si="0"/>
        <v>293.00340819999997</v>
      </c>
    </row>
    <row r="16" spans="1:5" ht="15" customHeight="1">
      <c r="A16" s="2">
        <v>15</v>
      </c>
      <c r="B16" s="3" t="s">
        <v>72</v>
      </c>
      <c r="C16" s="3">
        <v>12</v>
      </c>
      <c r="D16" s="3">
        <v>18</v>
      </c>
      <c r="E16" s="3">
        <f t="shared" si="0"/>
        <v>70.512592799999993</v>
      </c>
    </row>
    <row r="17" spans="1:5" ht="15" customHeight="1">
      <c r="A17" s="2">
        <v>16</v>
      </c>
      <c r="B17" s="3" t="s">
        <v>73</v>
      </c>
      <c r="C17" s="3">
        <v>12</v>
      </c>
      <c r="D17" s="3">
        <v>18</v>
      </c>
      <c r="E17" s="3">
        <f t="shared" si="0"/>
        <v>70.512592799999993</v>
      </c>
    </row>
    <row r="18" spans="1:5" ht="15" customHeight="1">
      <c r="A18" s="2">
        <v>17</v>
      </c>
      <c r="B18" s="3" t="s">
        <v>74</v>
      </c>
      <c r="C18" s="3">
        <v>19</v>
      </c>
      <c r="D18" s="3">
        <v>25</v>
      </c>
      <c r="E18" s="3">
        <f t="shared" si="0"/>
        <v>293.00340819999997</v>
      </c>
    </row>
    <row r="19" spans="1:5" ht="15" customHeight="1">
      <c r="A19" s="2">
        <v>18</v>
      </c>
      <c r="B19" s="3" t="s">
        <v>75</v>
      </c>
      <c r="C19" s="3">
        <v>19</v>
      </c>
      <c r="D19" s="3">
        <v>25</v>
      </c>
      <c r="E19" s="3">
        <f t="shared" si="0"/>
        <v>293.00340819999997</v>
      </c>
    </row>
    <row r="20" spans="1:5" ht="15" customHeight="1">
      <c r="A20" s="2">
        <v>19</v>
      </c>
      <c r="B20" s="3" t="s">
        <v>10</v>
      </c>
      <c r="C20" s="3">
        <v>19</v>
      </c>
      <c r="D20" s="3">
        <v>25</v>
      </c>
      <c r="E20" s="3">
        <f t="shared" si="0"/>
        <v>293.00340819999997</v>
      </c>
    </row>
    <row r="21" spans="1:5" ht="15" customHeight="1">
      <c r="A21" s="2">
        <v>20</v>
      </c>
      <c r="B21" s="3" t="s">
        <v>11</v>
      </c>
      <c r="C21" s="3">
        <v>19</v>
      </c>
      <c r="D21" s="3">
        <v>25</v>
      </c>
      <c r="E21" s="3">
        <f t="shared" si="0"/>
        <v>293.00340819999997</v>
      </c>
    </row>
    <row r="22" spans="1:5" ht="15" customHeight="1">
      <c r="A22" s="2">
        <v>21</v>
      </c>
      <c r="B22" s="3" t="s">
        <v>12</v>
      </c>
      <c r="C22" s="3">
        <v>19</v>
      </c>
      <c r="D22" s="3">
        <v>25</v>
      </c>
      <c r="E22" s="3">
        <f t="shared" si="0"/>
        <v>293.00340819999997</v>
      </c>
    </row>
    <row r="23" spans="1:5" ht="15" customHeight="1">
      <c r="A23" s="2">
        <v>22</v>
      </c>
      <c r="B23" s="3" t="s">
        <v>13</v>
      </c>
      <c r="C23" s="3">
        <v>19</v>
      </c>
      <c r="D23" s="3">
        <v>25</v>
      </c>
      <c r="E23" s="3">
        <f t="shared" si="0"/>
        <v>293.00340819999997</v>
      </c>
    </row>
    <row r="24" spans="1:5" ht="15" customHeight="1">
      <c r="A24" s="2">
        <v>23</v>
      </c>
      <c r="B24" s="3" t="s">
        <v>76</v>
      </c>
      <c r="C24" s="3">
        <v>19</v>
      </c>
      <c r="D24" s="3">
        <v>25</v>
      </c>
      <c r="E24" s="3">
        <f t="shared" si="0"/>
        <v>293.00340819999997</v>
      </c>
    </row>
    <row r="25" spans="1:5" ht="15" customHeight="1">
      <c r="A25" s="2">
        <v>24</v>
      </c>
      <c r="B25" s="3" t="s">
        <v>77</v>
      </c>
      <c r="C25" s="3">
        <v>19</v>
      </c>
      <c r="D25" s="3">
        <v>25</v>
      </c>
      <c r="E25" s="3">
        <f t="shared" si="0"/>
        <v>293.00340819999997</v>
      </c>
    </row>
    <row r="26" spans="1:5" ht="15" customHeight="1">
      <c r="A26" s="2">
        <v>25</v>
      </c>
      <c r="B26" s="3" t="s">
        <v>78</v>
      </c>
      <c r="C26" s="3">
        <v>19</v>
      </c>
      <c r="D26" s="3">
        <v>25</v>
      </c>
      <c r="E26" s="3">
        <f t="shared" si="0"/>
        <v>293.00340819999997</v>
      </c>
    </row>
    <row r="27" spans="1:5" ht="15" customHeight="1">
      <c r="A27" s="2">
        <v>26</v>
      </c>
      <c r="B27" s="3" t="s">
        <v>79</v>
      </c>
      <c r="C27" s="3">
        <v>19</v>
      </c>
      <c r="D27" s="3">
        <v>25</v>
      </c>
      <c r="E27" s="3">
        <f t="shared" si="0"/>
        <v>293.00340819999997</v>
      </c>
    </row>
    <row r="28" spans="1:5" ht="15" customHeight="1">
      <c r="A28" s="2">
        <v>27</v>
      </c>
      <c r="B28" s="3" t="s">
        <v>117</v>
      </c>
      <c r="C28" s="3">
        <v>20</v>
      </c>
      <c r="D28" s="3">
        <v>26</v>
      </c>
      <c r="E28" s="3">
        <f t="shared" si="0"/>
        <v>343.20422000000008</v>
      </c>
    </row>
    <row r="29" spans="1:5" ht="15" customHeight="1">
      <c r="A29" s="2">
        <v>28</v>
      </c>
      <c r="B29" s="3" t="s">
        <v>80</v>
      </c>
      <c r="C29" s="3">
        <v>22</v>
      </c>
      <c r="D29" s="3">
        <v>28</v>
      </c>
      <c r="E29" s="3">
        <f t="shared" si="0"/>
        <v>457.41815080000003</v>
      </c>
    </row>
    <row r="30" spans="1:5" ht="15" customHeight="1">
      <c r="A30" s="2">
        <v>29</v>
      </c>
      <c r="B30" s="3" t="s">
        <v>15</v>
      </c>
      <c r="C30" s="3">
        <v>19</v>
      </c>
      <c r="D30" s="3">
        <v>25</v>
      </c>
      <c r="E30" s="3">
        <f t="shared" si="0"/>
        <v>293.00340819999997</v>
      </c>
    </row>
    <row r="31" spans="1:5" ht="15" customHeight="1">
      <c r="A31" s="2">
        <v>30</v>
      </c>
      <c r="B31" s="3" t="s">
        <v>16</v>
      </c>
      <c r="C31" s="3">
        <v>16</v>
      </c>
      <c r="D31" s="3">
        <v>22</v>
      </c>
      <c r="E31" s="3">
        <f t="shared" si="0"/>
        <v>170.02558720000002</v>
      </c>
    </row>
    <row r="32" spans="1:5" ht="15" customHeight="1">
      <c r="A32" s="2">
        <v>31</v>
      </c>
      <c r="B32" s="3" t="s">
        <v>17</v>
      </c>
      <c r="C32" s="3">
        <v>19</v>
      </c>
      <c r="D32" s="3">
        <v>25</v>
      </c>
      <c r="E32" s="3">
        <f t="shared" si="0"/>
        <v>293.00340819999997</v>
      </c>
    </row>
    <row r="33" spans="1:5" ht="15" customHeight="1">
      <c r="A33" s="2">
        <v>32</v>
      </c>
      <c r="B33" s="3" t="s">
        <v>18</v>
      </c>
      <c r="C33" s="3">
        <v>19</v>
      </c>
      <c r="D33" s="3">
        <v>25</v>
      </c>
      <c r="E33" s="3">
        <f t="shared" si="0"/>
        <v>293.00340819999997</v>
      </c>
    </row>
    <row r="34" spans="1:5" ht="15" customHeight="1">
      <c r="A34" s="2">
        <v>33</v>
      </c>
      <c r="B34" s="3" t="s">
        <v>19</v>
      </c>
      <c r="C34" s="3">
        <v>19</v>
      </c>
      <c r="D34" s="3">
        <v>25</v>
      </c>
      <c r="E34" s="3">
        <f t="shared" ref="E34:E65" si="1">213.96744-39.579185*C34+2.3020512*C34^2</f>
        <v>293.00340819999997</v>
      </c>
    </row>
    <row r="35" spans="1:5" ht="15" customHeight="1">
      <c r="A35" s="2">
        <v>34</v>
      </c>
      <c r="B35" s="3" t="s">
        <v>20</v>
      </c>
      <c r="C35" s="3">
        <v>19</v>
      </c>
      <c r="D35" s="3">
        <v>25</v>
      </c>
      <c r="E35" s="3">
        <f t="shared" si="1"/>
        <v>293.00340819999997</v>
      </c>
    </row>
    <row r="36" spans="1:5" ht="15" customHeight="1">
      <c r="A36" s="2">
        <v>35</v>
      </c>
      <c r="B36" s="3" t="s">
        <v>81</v>
      </c>
      <c r="C36" s="3">
        <v>19</v>
      </c>
      <c r="D36" s="3">
        <v>25</v>
      </c>
      <c r="E36" s="3">
        <f t="shared" si="1"/>
        <v>293.00340819999997</v>
      </c>
    </row>
    <row r="37" spans="1:5" ht="15" customHeight="1">
      <c r="A37" s="2">
        <v>36</v>
      </c>
      <c r="B37" s="3" t="s">
        <v>21</v>
      </c>
      <c r="C37" s="3">
        <v>19</v>
      </c>
      <c r="D37" s="3">
        <v>25</v>
      </c>
      <c r="E37" s="3">
        <f t="shared" si="1"/>
        <v>293.00340819999997</v>
      </c>
    </row>
    <row r="38" spans="1:5" ht="15" customHeight="1">
      <c r="A38" s="2">
        <v>37</v>
      </c>
      <c r="B38" s="3" t="s">
        <v>22</v>
      </c>
      <c r="C38" s="3">
        <v>19</v>
      </c>
      <c r="D38" s="3">
        <v>25</v>
      </c>
      <c r="E38" s="3">
        <f t="shared" si="1"/>
        <v>293.00340819999997</v>
      </c>
    </row>
    <row r="39" spans="1:5" ht="15" customHeight="1">
      <c r="A39" s="2">
        <v>38</v>
      </c>
      <c r="B39" s="3" t="s">
        <v>9</v>
      </c>
      <c r="C39" s="3">
        <v>19</v>
      </c>
      <c r="D39" s="3">
        <v>25</v>
      </c>
      <c r="E39" s="3">
        <f t="shared" si="1"/>
        <v>293.00340819999997</v>
      </c>
    </row>
    <row r="40" spans="1:5" ht="15" customHeight="1">
      <c r="A40" s="2">
        <v>39</v>
      </c>
      <c r="B40" s="3" t="s">
        <v>60</v>
      </c>
      <c r="C40" s="3">
        <v>12</v>
      </c>
      <c r="D40" s="3">
        <v>18</v>
      </c>
      <c r="E40" s="3">
        <f t="shared" si="1"/>
        <v>70.512592799999993</v>
      </c>
    </row>
    <row r="41" spans="1:5" ht="15" customHeight="1">
      <c r="A41" s="2">
        <v>40</v>
      </c>
      <c r="B41" s="3" t="s">
        <v>30</v>
      </c>
      <c r="C41" s="3">
        <v>19</v>
      </c>
      <c r="D41" s="3">
        <v>25</v>
      </c>
      <c r="E41" s="3">
        <f t="shared" si="1"/>
        <v>293.00340819999997</v>
      </c>
    </row>
    <row r="42" spans="1:5" ht="15" customHeight="1">
      <c r="A42" s="2">
        <v>41</v>
      </c>
      <c r="B42" s="3" t="s">
        <v>82</v>
      </c>
      <c r="C42" s="3">
        <v>19</v>
      </c>
      <c r="D42" s="3">
        <v>25</v>
      </c>
      <c r="E42" s="3">
        <f t="shared" si="1"/>
        <v>293.00340819999997</v>
      </c>
    </row>
    <row r="43" spans="1:5" ht="15" customHeight="1">
      <c r="A43" s="2">
        <v>42</v>
      </c>
      <c r="B43" s="3" t="s">
        <v>23</v>
      </c>
      <c r="C43" s="3">
        <v>19</v>
      </c>
      <c r="D43" s="3">
        <v>25</v>
      </c>
      <c r="E43" s="3">
        <f t="shared" si="1"/>
        <v>293.00340819999997</v>
      </c>
    </row>
    <row r="44" spans="1:5" ht="15" customHeight="1">
      <c r="A44" s="2">
        <v>43</v>
      </c>
      <c r="B44" s="3" t="s">
        <v>24</v>
      </c>
      <c r="C44" s="3">
        <v>19</v>
      </c>
      <c r="D44" s="3">
        <v>25</v>
      </c>
      <c r="E44" s="3">
        <f t="shared" si="1"/>
        <v>293.00340819999997</v>
      </c>
    </row>
    <row r="45" spans="1:5" ht="15" customHeight="1">
      <c r="A45" s="2">
        <v>44</v>
      </c>
      <c r="B45" s="3" t="s">
        <v>25</v>
      </c>
      <c r="C45" s="3">
        <v>19</v>
      </c>
      <c r="D45" s="3">
        <v>25</v>
      </c>
      <c r="E45" s="3">
        <f t="shared" si="1"/>
        <v>293.00340819999997</v>
      </c>
    </row>
    <row r="46" spans="1:5" ht="15" customHeight="1">
      <c r="A46" s="2">
        <v>45</v>
      </c>
      <c r="B46" s="3" t="s">
        <v>27</v>
      </c>
      <c r="C46" s="3">
        <v>19</v>
      </c>
      <c r="D46" s="3">
        <v>25</v>
      </c>
      <c r="E46" s="3">
        <f t="shared" si="1"/>
        <v>293.00340819999997</v>
      </c>
    </row>
    <row r="47" spans="1:5" ht="15" customHeight="1">
      <c r="A47" s="2">
        <v>46</v>
      </c>
      <c r="B47" s="3" t="s">
        <v>83</v>
      </c>
      <c r="C47" s="3">
        <v>19</v>
      </c>
      <c r="D47" s="3">
        <v>25</v>
      </c>
      <c r="E47" s="3">
        <f t="shared" si="1"/>
        <v>293.00340819999997</v>
      </c>
    </row>
    <row r="48" spans="1:5" ht="15" customHeight="1">
      <c r="A48" s="2">
        <v>47</v>
      </c>
      <c r="B48" s="3" t="s">
        <v>84</v>
      </c>
      <c r="C48" s="3">
        <v>12</v>
      </c>
      <c r="D48" s="3">
        <v>18</v>
      </c>
      <c r="E48" s="3">
        <f t="shared" si="1"/>
        <v>70.512592799999993</v>
      </c>
    </row>
    <row r="49" spans="1:5" ht="15" customHeight="1">
      <c r="A49" s="2">
        <v>48</v>
      </c>
      <c r="B49" s="3" t="s">
        <v>85</v>
      </c>
      <c r="C49" s="3">
        <v>19</v>
      </c>
      <c r="D49" s="3">
        <v>25</v>
      </c>
      <c r="E49" s="3">
        <f t="shared" si="1"/>
        <v>293.00340819999997</v>
      </c>
    </row>
    <row r="50" spans="1:5" ht="15" customHeight="1">
      <c r="A50" s="2">
        <v>49</v>
      </c>
      <c r="B50" s="3" t="s">
        <v>28</v>
      </c>
      <c r="C50" s="3">
        <v>19</v>
      </c>
      <c r="D50" s="3">
        <v>25</v>
      </c>
      <c r="E50" s="3">
        <f t="shared" si="1"/>
        <v>293.00340819999997</v>
      </c>
    </row>
    <row r="51" spans="1:5" ht="15" customHeight="1">
      <c r="A51" s="2">
        <v>50</v>
      </c>
      <c r="B51" s="3" t="s">
        <v>29</v>
      </c>
      <c r="C51" s="3">
        <v>19</v>
      </c>
      <c r="D51" s="3">
        <v>25</v>
      </c>
      <c r="E51" s="3">
        <f t="shared" si="1"/>
        <v>293.00340819999997</v>
      </c>
    </row>
    <row r="52" spans="1:5" ht="15" customHeight="1">
      <c r="A52" s="2">
        <v>51</v>
      </c>
      <c r="B52" s="3" t="s">
        <v>86</v>
      </c>
      <c r="C52" s="3">
        <v>19</v>
      </c>
      <c r="D52" s="3">
        <v>25</v>
      </c>
      <c r="E52" s="3">
        <f t="shared" si="1"/>
        <v>293.00340819999997</v>
      </c>
    </row>
    <row r="53" spans="1:5" ht="15" customHeight="1">
      <c r="A53" s="2">
        <v>52</v>
      </c>
      <c r="B53" s="3" t="s">
        <v>87</v>
      </c>
      <c r="C53" s="3">
        <v>19</v>
      </c>
      <c r="D53" s="3">
        <v>25</v>
      </c>
      <c r="E53" s="3">
        <f t="shared" si="1"/>
        <v>293.00340819999997</v>
      </c>
    </row>
    <row r="54" spans="1:5" ht="15" customHeight="1">
      <c r="A54" s="2">
        <v>53</v>
      </c>
      <c r="B54" s="3" t="s">
        <v>31</v>
      </c>
      <c r="C54" s="3">
        <v>19</v>
      </c>
      <c r="D54" s="3">
        <v>6</v>
      </c>
      <c r="E54" s="3">
        <f t="shared" si="1"/>
        <v>293.00340819999997</v>
      </c>
    </row>
    <row r="55" spans="1:5" ht="15" customHeight="1">
      <c r="A55" s="2">
        <v>54</v>
      </c>
      <c r="B55" s="3" t="s">
        <v>88</v>
      </c>
      <c r="C55" s="3">
        <v>19</v>
      </c>
      <c r="D55" s="3">
        <v>25</v>
      </c>
      <c r="E55" s="3">
        <f t="shared" si="1"/>
        <v>293.00340819999997</v>
      </c>
    </row>
    <row r="56" spans="1:5" ht="15" customHeight="1">
      <c r="A56" s="2">
        <v>55</v>
      </c>
      <c r="B56" s="3" t="s">
        <v>32</v>
      </c>
      <c r="C56" s="3">
        <v>19</v>
      </c>
      <c r="D56" s="3">
        <v>25</v>
      </c>
      <c r="E56" s="3">
        <f t="shared" si="1"/>
        <v>293.00340819999997</v>
      </c>
    </row>
    <row r="57" spans="1:5" ht="15" customHeight="1">
      <c r="A57" s="2">
        <v>56</v>
      </c>
      <c r="B57" s="3" t="s">
        <v>33</v>
      </c>
      <c r="C57" s="3">
        <v>19</v>
      </c>
      <c r="D57" s="3">
        <v>25</v>
      </c>
      <c r="E57" s="3">
        <f t="shared" si="1"/>
        <v>293.00340819999997</v>
      </c>
    </row>
    <row r="58" spans="1:5" ht="15" customHeight="1">
      <c r="A58" s="2">
        <v>57</v>
      </c>
      <c r="B58" s="3" t="s">
        <v>34</v>
      </c>
      <c r="C58" s="3">
        <v>19</v>
      </c>
      <c r="D58" s="3">
        <v>25</v>
      </c>
      <c r="E58" s="3">
        <f t="shared" si="1"/>
        <v>293.00340819999997</v>
      </c>
    </row>
    <row r="59" spans="1:5" ht="15" customHeight="1">
      <c r="A59" s="2">
        <v>58</v>
      </c>
      <c r="B59" s="3" t="s">
        <v>35</v>
      </c>
      <c r="C59" s="3">
        <v>19</v>
      </c>
      <c r="D59" s="3">
        <v>25</v>
      </c>
      <c r="E59" s="3">
        <f t="shared" si="1"/>
        <v>293.00340819999997</v>
      </c>
    </row>
    <row r="60" spans="1:5" ht="15" customHeight="1">
      <c r="A60" s="2">
        <v>59</v>
      </c>
      <c r="B60" s="3" t="s">
        <v>61</v>
      </c>
      <c r="C60" s="3">
        <v>20</v>
      </c>
      <c r="D60" s="3">
        <v>26</v>
      </c>
      <c r="E60" s="3">
        <f t="shared" si="1"/>
        <v>343.20422000000008</v>
      </c>
    </row>
    <row r="61" spans="1:5" ht="15" customHeight="1">
      <c r="A61" s="2">
        <v>60</v>
      </c>
      <c r="B61" s="3" t="s">
        <v>36</v>
      </c>
      <c r="C61" s="3">
        <v>19</v>
      </c>
      <c r="D61" s="3">
        <v>25</v>
      </c>
      <c r="E61" s="3">
        <f t="shared" si="1"/>
        <v>293.00340819999997</v>
      </c>
    </row>
    <row r="62" spans="1:5" ht="15" customHeight="1">
      <c r="A62" s="2">
        <v>61</v>
      </c>
      <c r="B62" s="3" t="s">
        <v>38</v>
      </c>
      <c r="C62" s="3">
        <v>19</v>
      </c>
      <c r="D62" s="3">
        <v>25</v>
      </c>
      <c r="E62" s="3">
        <f t="shared" si="1"/>
        <v>293.00340819999997</v>
      </c>
    </row>
    <row r="63" spans="1:5" ht="15" customHeight="1">
      <c r="A63" s="2">
        <v>62</v>
      </c>
      <c r="B63" s="3" t="s">
        <v>37</v>
      </c>
      <c r="C63" s="3">
        <v>19</v>
      </c>
      <c r="D63" s="3">
        <v>25</v>
      </c>
      <c r="E63" s="3">
        <f t="shared" si="1"/>
        <v>293.00340819999997</v>
      </c>
    </row>
    <row r="64" spans="1:5" ht="15" customHeight="1">
      <c r="A64" s="2">
        <v>63</v>
      </c>
      <c r="B64" s="3" t="s">
        <v>26</v>
      </c>
      <c r="C64" s="3">
        <v>19</v>
      </c>
      <c r="D64" s="3">
        <v>25</v>
      </c>
      <c r="E64" s="3">
        <f t="shared" si="1"/>
        <v>293.00340819999997</v>
      </c>
    </row>
    <row r="65" spans="1:5" ht="15" customHeight="1">
      <c r="A65" s="2">
        <v>64</v>
      </c>
      <c r="B65" s="3" t="s">
        <v>89</v>
      </c>
      <c r="C65" s="3">
        <v>19</v>
      </c>
      <c r="D65" s="3">
        <v>25</v>
      </c>
      <c r="E65" s="3">
        <f t="shared" si="1"/>
        <v>293.00340819999997</v>
      </c>
    </row>
    <row r="66" spans="1:5" ht="15" customHeight="1">
      <c r="A66" s="2">
        <v>65</v>
      </c>
      <c r="B66" s="3" t="s">
        <v>90</v>
      </c>
      <c r="C66" s="3">
        <v>19</v>
      </c>
      <c r="D66" s="3">
        <v>25</v>
      </c>
      <c r="E66" s="3">
        <f t="shared" ref="E66:E97" si="2">213.96744-39.579185*C66+2.3020512*C66^2</f>
        <v>293.00340819999997</v>
      </c>
    </row>
    <row r="67" spans="1:5" ht="15" customHeight="1">
      <c r="A67" s="2">
        <v>66</v>
      </c>
      <c r="B67" s="3" t="s">
        <v>14</v>
      </c>
      <c r="C67" s="3">
        <v>19</v>
      </c>
      <c r="D67" s="3">
        <v>25</v>
      </c>
      <c r="E67" s="3">
        <f t="shared" si="2"/>
        <v>293.00340819999997</v>
      </c>
    </row>
    <row r="68" spans="1:5" ht="15" customHeight="1">
      <c r="A68" s="2">
        <v>67</v>
      </c>
      <c r="B68" s="3" t="s">
        <v>91</v>
      </c>
      <c r="C68" s="3">
        <v>19</v>
      </c>
      <c r="D68" s="3">
        <v>25</v>
      </c>
      <c r="E68" s="3">
        <f t="shared" si="2"/>
        <v>293.00340819999997</v>
      </c>
    </row>
    <row r="69" spans="1:5" ht="15" customHeight="1">
      <c r="A69" s="2">
        <v>68</v>
      </c>
      <c r="B69" s="3" t="s">
        <v>92</v>
      </c>
      <c r="C69" s="3">
        <v>19</v>
      </c>
      <c r="D69" s="3">
        <v>25</v>
      </c>
      <c r="E69" s="3">
        <f t="shared" si="2"/>
        <v>293.00340819999997</v>
      </c>
    </row>
    <row r="70" spans="1:5" ht="15" customHeight="1">
      <c r="A70" s="2">
        <v>69</v>
      </c>
      <c r="B70" s="3" t="s">
        <v>43</v>
      </c>
      <c r="C70" s="3">
        <v>19</v>
      </c>
      <c r="D70" s="3">
        <v>25</v>
      </c>
      <c r="E70" s="3">
        <f t="shared" si="2"/>
        <v>293.00340819999997</v>
      </c>
    </row>
    <row r="71" spans="1:5" ht="15" customHeight="1">
      <c r="A71" s="2">
        <v>70</v>
      </c>
      <c r="B71" s="3" t="s">
        <v>39</v>
      </c>
      <c r="C71" s="3">
        <v>19</v>
      </c>
      <c r="D71" s="3">
        <v>25</v>
      </c>
      <c r="E71" s="3">
        <f t="shared" si="2"/>
        <v>293.00340819999997</v>
      </c>
    </row>
    <row r="72" spans="1:5" ht="15" customHeight="1">
      <c r="A72" s="2">
        <v>71</v>
      </c>
      <c r="B72" s="3" t="s">
        <v>93</v>
      </c>
      <c r="C72" s="3">
        <v>19</v>
      </c>
      <c r="D72" s="3">
        <v>25</v>
      </c>
      <c r="E72" s="3">
        <f t="shared" si="2"/>
        <v>293.00340819999997</v>
      </c>
    </row>
    <row r="73" spans="1:5" ht="15" customHeight="1">
      <c r="A73" s="2">
        <v>72</v>
      </c>
      <c r="B73" s="3" t="s">
        <v>94</v>
      </c>
      <c r="C73" s="3">
        <v>19</v>
      </c>
      <c r="D73" s="3">
        <v>25</v>
      </c>
      <c r="E73" s="3">
        <f t="shared" si="2"/>
        <v>293.00340819999997</v>
      </c>
    </row>
    <row r="74" spans="1:5" ht="15" customHeight="1">
      <c r="A74" s="2">
        <v>73</v>
      </c>
      <c r="B74" s="3" t="s">
        <v>40</v>
      </c>
      <c r="C74" s="3">
        <v>19</v>
      </c>
      <c r="D74" s="3">
        <v>25</v>
      </c>
      <c r="E74" s="3">
        <f t="shared" si="2"/>
        <v>293.00340819999997</v>
      </c>
    </row>
    <row r="75" spans="1:5" ht="15" customHeight="1">
      <c r="A75" s="2">
        <v>74</v>
      </c>
      <c r="B75" s="3" t="s">
        <v>95</v>
      </c>
      <c r="C75" s="3">
        <v>19</v>
      </c>
      <c r="D75" s="3">
        <v>25</v>
      </c>
      <c r="E75" s="3">
        <f t="shared" si="2"/>
        <v>293.00340819999997</v>
      </c>
    </row>
    <row r="76" spans="1:5" ht="15" customHeight="1">
      <c r="A76" s="2">
        <v>75</v>
      </c>
      <c r="B76" s="3" t="s">
        <v>96</v>
      </c>
      <c r="C76" s="3">
        <v>19</v>
      </c>
      <c r="D76" s="3">
        <v>25</v>
      </c>
      <c r="E76" s="3">
        <f t="shared" si="2"/>
        <v>293.00340819999997</v>
      </c>
    </row>
    <row r="77" spans="1:5" ht="15" customHeight="1">
      <c r="A77" s="2">
        <v>76</v>
      </c>
      <c r="B77" s="3" t="s">
        <v>42</v>
      </c>
      <c r="C77" s="3">
        <v>19</v>
      </c>
      <c r="D77" s="3">
        <v>25</v>
      </c>
      <c r="E77" s="3">
        <f t="shared" si="2"/>
        <v>293.00340819999997</v>
      </c>
    </row>
    <row r="78" spans="1:5" ht="15" customHeight="1">
      <c r="A78" s="2">
        <v>77</v>
      </c>
      <c r="B78" s="3" t="s">
        <v>63</v>
      </c>
      <c r="C78" s="3">
        <v>19</v>
      </c>
      <c r="D78" s="3">
        <v>6</v>
      </c>
      <c r="E78" s="3">
        <f t="shared" si="2"/>
        <v>293.00340819999997</v>
      </c>
    </row>
    <row r="79" spans="1:5" ht="15" customHeight="1">
      <c r="A79" s="2">
        <v>78</v>
      </c>
      <c r="B79" s="3" t="s">
        <v>64</v>
      </c>
      <c r="C79" s="3">
        <v>19</v>
      </c>
      <c r="D79" s="3">
        <v>25</v>
      </c>
      <c r="E79" s="3">
        <f t="shared" si="2"/>
        <v>293.00340819999997</v>
      </c>
    </row>
    <row r="80" spans="1:5" ht="15" customHeight="1">
      <c r="A80" s="2">
        <v>79</v>
      </c>
      <c r="B80" s="3" t="s">
        <v>97</v>
      </c>
      <c r="C80" s="3">
        <v>16</v>
      </c>
      <c r="D80" s="3">
        <v>22</v>
      </c>
      <c r="E80" s="3">
        <f t="shared" si="2"/>
        <v>170.02558720000002</v>
      </c>
    </row>
    <row r="81" spans="1:5" ht="15" customHeight="1">
      <c r="A81" s="2">
        <v>80</v>
      </c>
      <c r="B81" s="3" t="s">
        <v>118</v>
      </c>
      <c r="C81" s="3">
        <v>20</v>
      </c>
      <c r="D81" s="3">
        <v>26</v>
      </c>
      <c r="E81" s="3">
        <f t="shared" si="2"/>
        <v>343.20422000000008</v>
      </c>
    </row>
    <row r="82" spans="1:5" ht="15" customHeight="1">
      <c r="A82" s="2">
        <v>81</v>
      </c>
      <c r="B82" s="3" t="s">
        <v>44</v>
      </c>
      <c r="C82" s="3">
        <v>19</v>
      </c>
      <c r="D82" s="3">
        <v>25</v>
      </c>
      <c r="E82" s="3">
        <f t="shared" si="2"/>
        <v>293.00340819999997</v>
      </c>
    </row>
    <row r="83" spans="1:5" ht="15" customHeight="1">
      <c r="A83" s="2">
        <v>82</v>
      </c>
      <c r="B83" s="3" t="s">
        <v>45</v>
      </c>
      <c r="C83" s="3">
        <v>16</v>
      </c>
      <c r="D83" s="3">
        <v>22</v>
      </c>
      <c r="E83" s="3">
        <f t="shared" si="2"/>
        <v>170.02558720000002</v>
      </c>
    </row>
    <row r="84" spans="1:5" ht="15" customHeight="1">
      <c r="A84" s="2">
        <v>83</v>
      </c>
      <c r="B84" s="3" t="s">
        <v>99</v>
      </c>
      <c r="C84" s="3">
        <v>19</v>
      </c>
      <c r="D84" s="3">
        <v>25</v>
      </c>
      <c r="E84" s="3">
        <f t="shared" si="2"/>
        <v>293.00340819999997</v>
      </c>
    </row>
    <row r="85" spans="1:5" ht="15" customHeight="1">
      <c r="A85" s="2">
        <v>84</v>
      </c>
      <c r="B85" s="3" t="s">
        <v>41</v>
      </c>
      <c r="C85" s="3">
        <v>19</v>
      </c>
      <c r="D85" s="3">
        <v>25</v>
      </c>
      <c r="E85" s="3">
        <f t="shared" si="2"/>
        <v>293.00340819999997</v>
      </c>
    </row>
    <row r="86" spans="1:5" ht="15" customHeight="1">
      <c r="A86" s="2">
        <v>85</v>
      </c>
      <c r="B86" s="3" t="s">
        <v>46</v>
      </c>
      <c r="C86" s="3">
        <v>19</v>
      </c>
      <c r="D86" s="3">
        <v>25</v>
      </c>
      <c r="E86" s="3">
        <f t="shared" si="2"/>
        <v>293.00340819999997</v>
      </c>
    </row>
    <row r="87" spans="1:5" ht="15" customHeight="1">
      <c r="A87" s="2">
        <v>86</v>
      </c>
      <c r="B87" s="3" t="s">
        <v>100</v>
      </c>
      <c r="C87" s="3">
        <v>19</v>
      </c>
      <c r="D87" s="3">
        <v>25</v>
      </c>
      <c r="E87" s="3">
        <f t="shared" si="2"/>
        <v>293.00340819999997</v>
      </c>
    </row>
    <row r="88" spans="1:5" ht="15" customHeight="1">
      <c r="A88" s="2">
        <v>87</v>
      </c>
      <c r="B88" s="3" t="s">
        <v>101</v>
      </c>
      <c r="C88" s="3">
        <v>19</v>
      </c>
      <c r="D88" s="3">
        <v>25</v>
      </c>
      <c r="E88" s="3">
        <f t="shared" si="2"/>
        <v>293.00340819999997</v>
      </c>
    </row>
    <row r="89" spans="1:5" ht="15" customHeight="1">
      <c r="A89" s="2">
        <v>88</v>
      </c>
      <c r="B89" s="3" t="s">
        <v>47</v>
      </c>
      <c r="C89" s="3">
        <v>19</v>
      </c>
      <c r="D89" s="3">
        <v>25</v>
      </c>
      <c r="E89" s="3">
        <f t="shared" si="2"/>
        <v>293.00340819999997</v>
      </c>
    </row>
    <row r="90" spans="1:5" ht="15" customHeight="1">
      <c r="A90" s="2">
        <v>89</v>
      </c>
      <c r="B90" s="3" t="s">
        <v>48</v>
      </c>
      <c r="C90" s="3">
        <v>19</v>
      </c>
      <c r="D90" s="3">
        <v>25</v>
      </c>
      <c r="E90" s="3">
        <f t="shared" si="2"/>
        <v>293.00340819999997</v>
      </c>
    </row>
    <row r="91" spans="1:5" ht="15" customHeight="1">
      <c r="A91" s="2">
        <v>90</v>
      </c>
      <c r="B91" s="3" t="s">
        <v>49</v>
      </c>
      <c r="C91" s="3">
        <v>19</v>
      </c>
      <c r="D91" s="3">
        <v>25</v>
      </c>
      <c r="E91" s="3">
        <f t="shared" si="2"/>
        <v>293.00340819999997</v>
      </c>
    </row>
    <row r="92" spans="1:5" ht="15" customHeight="1">
      <c r="A92" s="2">
        <v>91</v>
      </c>
      <c r="B92" s="3" t="s">
        <v>62</v>
      </c>
      <c r="C92" s="3">
        <v>20</v>
      </c>
      <c r="D92" s="3">
        <v>26</v>
      </c>
      <c r="E92" s="3">
        <f t="shared" si="2"/>
        <v>343.20422000000008</v>
      </c>
    </row>
    <row r="93" spans="1:5" ht="15" customHeight="1">
      <c r="A93" s="2">
        <v>92</v>
      </c>
      <c r="B93" s="3" t="s">
        <v>50</v>
      </c>
      <c r="C93" s="3">
        <v>19</v>
      </c>
      <c r="D93" s="3">
        <v>25</v>
      </c>
      <c r="E93" s="3">
        <f t="shared" si="2"/>
        <v>293.00340819999997</v>
      </c>
    </row>
    <row r="94" spans="1:5" ht="15" customHeight="1">
      <c r="A94" s="2">
        <v>93</v>
      </c>
      <c r="B94" s="3" t="s">
        <v>51</v>
      </c>
      <c r="C94" s="3">
        <v>24</v>
      </c>
      <c r="D94" s="3">
        <v>30</v>
      </c>
      <c r="E94" s="3">
        <f t="shared" si="2"/>
        <v>590.04849120000006</v>
      </c>
    </row>
    <row r="95" spans="1:5" ht="15" customHeight="1">
      <c r="A95" s="2">
        <v>94</v>
      </c>
      <c r="B95" s="3" t="s">
        <v>52</v>
      </c>
      <c r="C95" s="3">
        <v>19</v>
      </c>
      <c r="D95" s="3">
        <v>25</v>
      </c>
      <c r="E95" s="3">
        <f t="shared" si="2"/>
        <v>293.00340819999997</v>
      </c>
    </row>
    <row r="96" spans="1:5" ht="15" customHeight="1">
      <c r="A96" s="2">
        <v>95</v>
      </c>
      <c r="B96" s="3" t="s">
        <v>102</v>
      </c>
      <c r="C96" s="3">
        <v>19</v>
      </c>
      <c r="D96" s="3">
        <v>25</v>
      </c>
      <c r="E96" s="3">
        <f t="shared" si="2"/>
        <v>293.00340819999997</v>
      </c>
    </row>
    <row r="97" spans="1:5" ht="15" customHeight="1">
      <c r="A97" s="2">
        <v>96</v>
      </c>
      <c r="B97" s="3" t="s">
        <v>119</v>
      </c>
      <c r="C97" s="3">
        <v>19</v>
      </c>
      <c r="D97" s="3">
        <v>25</v>
      </c>
      <c r="E97" s="3">
        <f t="shared" si="2"/>
        <v>293.00340819999997</v>
      </c>
    </row>
    <row r="98" spans="1:5" ht="15" customHeight="1">
      <c r="A98" s="2">
        <v>97</v>
      </c>
      <c r="B98" s="3" t="s">
        <v>53</v>
      </c>
      <c r="C98" s="3">
        <v>19</v>
      </c>
      <c r="D98" s="3">
        <v>25</v>
      </c>
      <c r="E98" s="3">
        <f t="shared" ref="E98:E107" si="3">213.96744-39.579185*C98+2.3020512*C98^2</f>
        <v>293.00340819999997</v>
      </c>
    </row>
    <row r="99" spans="1:5" ht="15" customHeight="1">
      <c r="A99" s="2">
        <v>98</v>
      </c>
      <c r="B99" s="3" t="s">
        <v>54</v>
      </c>
      <c r="C99" s="3">
        <v>19</v>
      </c>
      <c r="D99" s="3">
        <v>25</v>
      </c>
      <c r="E99" s="3">
        <f t="shared" si="3"/>
        <v>293.00340819999997</v>
      </c>
    </row>
    <row r="100" spans="1:5" ht="15" customHeight="1">
      <c r="A100" s="2">
        <v>99</v>
      </c>
      <c r="B100" s="3" t="s">
        <v>55</v>
      </c>
      <c r="C100" s="3">
        <v>19</v>
      </c>
      <c r="D100" s="3">
        <v>25</v>
      </c>
      <c r="E100" s="3">
        <f t="shared" si="3"/>
        <v>293.00340819999997</v>
      </c>
    </row>
    <row r="101" spans="1:5" ht="15" customHeight="1">
      <c r="A101" s="2">
        <v>100</v>
      </c>
      <c r="B101" s="3" t="s">
        <v>57</v>
      </c>
      <c r="C101" s="3">
        <v>21</v>
      </c>
      <c r="D101" s="3">
        <v>27</v>
      </c>
      <c r="E101" s="3">
        <f t="shared" si="3"/>
        <v>398.00913420000006</v>
      </c>
    </row>
    <row r="102" spans="1:5" ht="15" customHeight="1">
      <c r="A102" s="2">
        <v>101</v>
      </c>
      <c r="B102" s="3" t="s">
        <v>58</v>
      </c>
      <c r="C102" s="3">
        <v>21</v>
      </c>
      <c r="D102" s="3">
        <v>27</v>
      </c>
      <c r="E102" s="3">
        <f t="shared" si="3"/>
        <v>398.00913420000006</v>
      </c>
    </row>
    <row r="103" spans="1:5" ht="15" customHeight="1">
      <c r="A103" s="2">
        <v>102</v>
      </c>
      <c r="B103" s="3" t="s">
        <v>56</v>
      </c>
      <c r="C103" s="3">
        <v>19</v>
      </c>
      <c r="D103" s="3">
        <v>6</v>
      </c>
      <c r="E103" s="3">
        <f t="shared" si="3"/>
        <v>293.00340819999997</v>
      </c>
    </row>
    <row r="104" spans="1:5" ht="15" customHeight="1">
      <c r="A104" s="2">
        <v>103</v>
      </c>
      <c r="B104" s="3" t="s">
        <v>104</v>
      </c>
      <c r="C104" s="3">
        <v>19</v>
      </c>
      <c r="D104" s="3">
        <v>25</v>
      </c>
      <c r="E104" s="3">
        <f t="shared" si="3"/>
        <v>293.00340819999997</v>
      </c>
    </row>
    <row r="105" spans="1:5" ht="15" customHeight="1">
      <c r="A105" s="2">
        <v>104</v>
      </c>
      <c r="B105" s="3" t="s">
        <v>105</v>
      </c>
      <c r="C105" s="3">
        <v>19</v>
      </c>
      <c r="D105" s="3">
        <v>25</v>
      </c>
      <c r="E105" s="3">
        <f t="shared" si="3"/>
        <v>293.00340819999997</v>
      </c>
    </row>
    <row r="106" spans="1:5" ht="15" customHeight="1">
      <c r="A106" s="2">
        <v>105</v>
      </c>
      <c r="B106" s="3" t="s">
        <v>106</v>
      </c>
      <c r="C106" s="3">
        <v>19</v>
      </c>
      <c r="D106" s="3">
        <v>25</v>
      </c>
      <c r="E106" s="3">
        <f t="shared" si="3"/>
        <v>293.00340819999997</v>
      </c>
    </row>
    <row r="107" spans="1:5" ht="15" customHeight="1">
      <c r="A107" s="2">
        <v>106</v>
      </c>
      <c r="B107" s="3" t="s">
        <v>120</v>
      </c>
      <c r="C107" s="3">
        <v>19</v>
      </c>
      <c r="D107" s="3">
        <v>25</v>
      </c>
      <c r="E107" s="3">
        <f t="shared" si="3"/>
        <v>293.00340819999997</v>
      </c>
    </row>
    <row r="108" spans="1:5">
      <c r="A108" s="25">
        <v>107</v>
      </c>
      <c r="B108" s="26" t="s">
        <v>110</v>
      </c>
      <c r="C108" s="3">
        <v>21</v>
      </c>
      <c r="D108" s="3">
        <v>27</v>
      </c>
      <c r="E108" s="3">
        <f t="shared" ref="E108" si="4">213.96744-39.579185*C108+2.3020512*C108^2</f>
        <v>398.00913420000006</v>
      </c>
    </row>
    <row r="109" spans="1:5" ht="15" customHeight="1">
      <c r="A109" s="25">
        <v>108</v>
      </c>
      <c r="B109" t="s">
        <v>108</v>
      </c>
      <c r="C109" s="3">
        <v>19</v>
      </c>
      <c r="D109" s="3">
        <v>25</v>
      </c>
      <c r="E109" s="3">
        <f t="shared" ref="E109" si="5">213.96744-39.579185*C109+2.3020512*C109^2</f>
        <v>293.00340819999997</v>
      </c>
    </row>
    <row r="110" spans="1:5" ht="15" customHeight="1">
      <c r="A110" s="25">
        <v>109</v>
      </c>
      <c r="B110" t="s">
        <v>111</v>
      </c>
      <c r="C110">
        <v>19</v>
      </c>
      <c r="D110">
        <v>25</v>
      </c>
      <c r="E110">
        <v>293.00340819999997</v>
      </c>
    </row>
    <row r="115" spans="2:2">
      <c r="B115" s="15"/>
    </row>
    <row r="117" spans="2:2">
      <c r="B117" s="15"/>
    </row>
    <row r="118" spans="2:2">
      <c r="B118" s="15"/>
    </row>
    <row r="120" spans="2:2">
      <c r="B120" s="15"/>
    </row>
    <row r="122" spans="2:2">
      <c r="B122" s="15"/>
    </row>
    <row r="123" spans="2:2">
      <c r="B123" s="15"/>
    </row>
    <row r="124" spans="2:2">
      <c r="B124" s="3"/>
    </row>
    <row r="125" spans="2:2">
      <c r="B125" s="3"/>
    </row>
    <row r="126" spans="2:2">
      <c r="B126" s="3"/>
    </row>
    <row r="127" spans="2:2">
      <c r="B127" s="15"/>
    </row>
    <row r="130" spans="2:2">
      <c r="B130" s="15"/>
    </row>
    <row r="131" spans="2:2">
      <c r="B131" s="15"/>
    </row>
    <row r="133" spans="2:2">
      <c r="B133" s="15"/>
    </row>
    <row r="134" spans="2:2">
      <c r="B134" s="15"/>
    </row>
    <row r="136" spans="2:2">
      <c r="B136" s="15"/>
    </row>
    <row r="138" spans="2:2">
      <c r="B138" s="15"/>
    </row>
    <row r="139" spans="2:2">
      <c r="B139" s="15"/>
    </row>
    <row r="141" spans="2:2">
      <c r="B141" s="15"/>
    </row>
    <row r="149" spans="2:2">
      <c r="B149" s="15"/>
    </row>
    <row r="151" spans="2:2">
      <c r="B151" s="15"/>
    </row>
    <row r="156" spans="2:2">
      <c r="B156" s="15"/>
    </row>
    <row r="160" spans="2:2">
      <c r="B160" s="16"/>
    </row>
    <row r="161" spans="2:2">
      <c r="B161" s="15"/>
    </row>
    <row r="162" spans="2:2">
      <c r="B162" s="15"/>
    </row>
    <row r="164" spans="2:2">
      <c r="B164" s="17"/>
    </row>
    <row r="167" spans="2:2">
      <c r="B167" s="3"/>
    </row>
    <row r="168" spans="2:2">
      <c r="B168" s="3"/>
    </row>
    <row r="169" spans="2:2">
      <c r="B169" s="3"/>
    </row>
    <row r="170" spans="2:2">
      <c r="B170" s="3"/>
    </row>
    <row r="171" spans="2:2">
      <c r="B171" s="3"/>
    </row>
    <row r="172" spans="2:2">
      <c r="B172" s="3"/>
    </row>
  </sheetData>
  <conditionalFormatting sqref="B173:B1048576 I12 B1:B110">
    <cfRule type="duplicateValues" dxfId="21" priority="20"/>
  </conditionalFormatting>
  <conditionalFormatting sqref="B1:B1048576">
    <cfRule type="duplicateValues" dxfId="20" priority="1"/>
  </conditionalFormatting>
  <conditionalFormatting sqref="B124:B126">
    <cfRule type="duplicateValues" dxfId="19" priority="19"/>
  </conditionalFormatting>
  <conditionalFormatting sqref="B160">
    <cfRule type="duplicateValues" dxfId="18" priority="17"/>
    <cfRule type="duplicateValues" dxfId="17" priority="18"/>
  </conditionalFormatting>
  <conditionalFormatting sqref="B167">
    <cfRule type="duplicateValues" dxfId="16" priority="14"/>
    <cfRule type="duplicateValues" dxfId="15" priority="15"/>
    <cfRule type="duplicateValues" dxfId="14" priority="16"/>
  </conditionalFormatting>
  <conditionalFormatting sqref="B168">
    <cfRule type="duplicateValues" dxfId="13" priority="11"/>
    <cfRule type="duplicateValues" dxfId="12" priority="12"/>
    <cfRule type="duplicateValues" dxfId="11" priority="13"/>
  </conditionalFormatting>
  <conditionalFormatting sqref="B169">
    <cfRule type="duplicateValues" dxfId="10" priority="8"/>
    <cfRule type="duplicateValues" dxfId="9" priority="9"/>
    <cfRule type="duplicateValues" dxfId="8" priority="10"/>
  </conditionalFormatting>
  <conditionalFormatting sqref="B170">
    <cfRule type="duplicateValues" dxfId="7" priority="5"/>
    <cfRule type="duplicateValues" dxfId="6" priority="6"/>
    <cfRule type="duplicateValues" dxfId="5" priority="7"/>
  </conditionalFormatting>
  <conditionalFormatting sqref="B171:B172">
    <cfRule type="duplicateValues" dxfId="4" priority="2"/>
    <cfRule type="duplicateValues" dxfId="3" priority="3"/>
    <cfRule type="duplicateValues" dxfId="2" priority="4"/>
  </conditionalFormatting>
  <conditionalFormatting sqref="B173:B1048576 I12 B1:B110">
    <cfRule type="duplicateValues" dxfId="1" priority="23"/>
    <cfRule type="duplicateValues" dxfId="0" priority="25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2"/>
  <sheetViews>
    <sheetView zoomScaleNormal="100" workbookViewId="0">
      <pane ySplit="1" topLeftCell="A2" activePane="bottomLeft" state="frozen"/>
      <selection pane="bottomLeft" activeCell="F7" sqref="F7"/>
    </sheetView>
  </sheetViews>
  <sheetFormatPr defaultColWidth="8.7109375" defaultRowHeight="15"/>
  <cols>
    <col min="1" max="1" width="13" customWidth="1"/>
    <col min="2" max="2" width="17" customWidth="1"/>
    <col min="3" max="3" width="15.7109375" bestFit="1" customWidth="1"/>
  </cols>
  <sheetData>
    <row r="1" spans="1:3" ht="15" customHeight="1">
      <c r="A1" s="1" t="s">
        <v>121</v>
      </c>
      <c r="B1" s="1" t="s">
        <v>122</v>
      </c>
      <c r="C1" s="1" t="s">
        <v>123</v>
      </c>
    </row>
    <row r="2" spans="1:3" ht="15" customHeight="1">
      <c r="A2" s="2">
        <v>1</v>
      </c>
      <c r="B2" s="3">
        <v>1</v>
      </c>
      <c r="C2" s="3">
        <v>2</v>
      </c>
    </row>
    <row r="3" spans="1:3" ht="15" customHeight="1">
      <c r="A3" s="2">
        <v>1</v>
      </c>
      <c r="B3" s="3">
        <v>2</v>
      </c>
      <c r="C3" s="3">
        <v>1.4</v>
      </c>
    </row>
    <row r="4" spans="1:3" ht="15" customHeight="1">
      <c r="A4" s="2">
        <v>1</v>
      </c>
      <c r="B4" s="3">
        <v>3</v>
      </c>
      <c r="C4" s="3">
        <v>1.35</v>
      </c>
    </row>
    <row r="5" spans="1:3" ht="15" customHeight="1">
      <c r="A5" s="2">
        <v>2</v>
      </c>
      <c r="B5" s="3">
        <v>1</v>
      </c>
      <c r="C5" s="3">
        <v>1</v>
      </c>
    </row>
    <row r="6" spans="1:3" ht="15" customHeight="1">
      <c r="A6" s="2">
        <v>2</v>
      </c>
      <c r="B6" s="3">
        <v>2</v>
      </c>
      <c r="C6" s="3">
        <v>1</v>
      </c>
    </row>
    <row r="7" spans="1:3" ht="15" customHeight="1">
      <c r="A7" s="2">
        <v>2</v>
      </c>
      <c r="B7" s="3">
        <v>3</v>
      </c>
      <c r="C7" s="3">
        <v>1</v>
      </c>
    </row>
    <row r="8" spans="1:3" ht="15" customHeight="1">
      <c r="A8" s="2">
        <v>3</v>
      </c>
      <c r="B8" s="3">
        <v>1</v>
      </c>
      <c r="C8" s="3">
        <v>1.8</v>
      </c>
    </row>
    <row r="9" spans="1:3" ht="15" customHeight="1">
      <c r="A9" s="2">
        <v>3</v>
      </c>
      <c r="B9" s="3">
        <v>2</v>
      </c>
      <c r="C9" s="3">
        <v>0.66</v>
      </c>
    </row>
    <row r="10" spans="1:3" ht="15" customHeight="1">
      <c r="A10" s="2">
        <v>3</v>
      </c>
      <c r="B10" s="3">
        <v>3</v>
      </c>
      <c r="C10" s="3">
        <v>1</v>
      </c>
    </row>
    <row r="11" spans="1:3" ht="15" customHeight="1">
      <c r="A11" s="2">
        <v>4</v>
      </c>
      <c r="B11" s="3">
        <v>1</v>
      </c>
      <c r="C11" s="3">
        <v>2.4</v>
      </c>
    </row>
    <row r="12" spans="1:3" ht="15" customHeight="1">
      <c r="A12" s="2">
        <v>4</v>
      </c>
      <c r="B12" s="3">
        <v>2</v>
      </c>
      <c r="C12" s="3">
        <v>1.8</v>
      </c>
    </row>
    <row r="13" spans="1:3" ht="15" customHeight="1">
      <c r="A13" s="2">
        <v>4</v>
      </c>
      <c r="B13" s="3">
        <v>3</v>
      </c>
      <c r="C13" s="3">
        <v>1.7</v>
      </c>
    </row>
    <row r="14" spans="1:3" ht="15" customHeight="1">
      <c r="A14" s="2">
        <v>5</v>
      </c>
      <c r="B14" s="3">
        <v>1</v>
      </c>
      <c r="C14" s="3">
        <v>2.1</v>
      </c>
    </row>
    <row r="15" spans="1:3" ht="15" customHeight="1">
      <c r="A15" s="2">
        <v>5</v>
      </c>
      <c r="B15" s="3">
        <v>2</v>
      </c>
      <c r="C15" s="3">
        <v>3.1</v>
      </c>
    </row>
    <row r="16" spans="1:3" ht="15" customHeight="1">
      <c r="A16" s="2">
        <v>5</v>
      </c>
      <c r="B16" s="3">
        <v>3</v>
      </c>
      <c r="C16" s="3">
        <v>1.25</v>
      </c>
    </row>
    <row r="17" spans="1:3" ht="15" customHeight="1">
      <c r="A17" s="2">
        <v>6</v>
      </c>
      <c r="B17" s="3">
        <v>1</v>
      </c>
      <c r="C17" s="3">
        <v>2.2999999999999998</v>
      </c>
    </row>
    <row r="18" spans="1:3" ht="15" customHeight="1">
      <c r="A18" s="2">
        <v>6</v>
      </c>
      <c r="B18" s="3">
        <v>2</v>
      </c>
      <c r="C18" s="3">
        <v>3.66</v>
      </c>
    </row>
    <row r="19" spans="1:3" ht="15" customHeight="1">
      <c r="A19" s="2">
        <v>6</v>
      </c>
      <c r="B19" s="3">
        <v>3</v>
      </c>
      <c r="C19" s="3">
        <v>1.5</v>
      </c>
    </row>
    <row r="21" spans="1:3" ht="15" customHeight="1">
      <c r="A21" s="4"/>
    </row>
    <row r="22" spans="1:3" ht="15" customHeight="1">
      <c r="A22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"/>
  <sheetViews>
    <sheetView zoomScaleNormal="100" workbookViewId="0">
      <pane ySplit="1" topLeftCell="A2" activePane="bottomLeft" state="frozen"/>
      <selection pane="bottomLeft" activeCell="B2" sqref="B2"/>
    </sheetView>
  </sheetViews>
  <sheetFormatPr defaultColWidth="8.7109375" defaultRowHeight="15"/>
  <cols>
    <col min="1" max="1" width="17" customWidth="1"/>
    <col min="2" max="2" width="20" customWidth="1"/>
    <col min="3" max="3" width="62" customWidth="1"/>
  </cols>
  <sheetData>
    <row r="1" spans="1:3" ht="15" customHeight="1">
      <c r="A1" s="1" t="s">
        <v>122</v>
      </c>
      <c r="B1" s="1" t="s">
        <v>124</v>
      </c>
      <c r="C1" s="1" t="s">
        <v>125</v>
      </c>
    </row>
    <row r="2" spans="1:3" ht="15" customHeight="1">
      <c r="A2" s="2">
        <v>1</v>
      </c>
      <c r="B2" s="3" t="s">
        <v>126</v>
      </c>
      <c r="C2" s="3" t="s">
        <v>127</v>
      </c>
    </row>
    <row r="3" spans="1:3" ht="15" customHeight="1">
      <c r="A3" s="2">
        <v>2</v>
      </c>
      <c r="B3" s="3" t="s">
        <v>128</v>
      </c>
      <c r="C3" s="3" t="s">
        <v>129</v>
      </c>
    </row>
    <row r="4" spans="1:3" ht="15" customHeight="1">
      <c r="A4" s="2">
        <v>3</v>
      </c>
      <c r="B4" s="3" t="s">
        <v>130</v>
      </c>
      <c r="C4" s="3" t="s">
        <v>131</v>
      </c>
    </row>
    <row r="6" spans="1:3" ht="15" customHeight="1">
      <c r="A6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8"/>
  <sheetViews>
    <sheetView zoomScaleNormal="100" workbookViewId="0">
      <pane ySplit="1" topLeftCell="A2" activePane="bottomLeft" state="frozen"/>
      <selection pane="bottomLeft" activeCell="A7" sqref="A7:XFD8"/>
    </sheetView>
  </sheetViews>
  <sheetFormatPr defaultColWidth="8.7109375" defaultRowHeight="15"/>
  <cols>
    <col min="1" max="1" width="9" customWidth="1"/>
    <col min="2" max="4" width="12" customWidth="1"/>
  </cols>
  <sheetData>
    <row r="1" spans="1:4" ht="15" customHeight="1">
      <c r="A1" s="1" t="s">
        <v>132</v>
      </c>
      <c r="B1" s="1" t="s">
        <v>124</v>
      </c>
      <c r="C1" s="1" t="s">
        <v>133</v>
      </c>
      <c r="D1" s="1" t="s">
        <v>134</v>
      </c>
    </row>
    <row r="2" spans="1:4" ht="15" customHeight="1">
      <c r="A2" s="2">
        <v>1</v>
      </c>
      <c r="B2" s="3" t="s">
        <v>135</v>
      </c>
      <c r="C2" s="3">
        <v>0.125</v>
      </c>
      <c r="D2" s="3">
        <v>0.25</v>
      </c>
    </row>
    <row r="3" spans="1:4" ht="15" customHeight="1">
      <c r="A3" s="2">
        <v>2</v>
      </c>
      <c r="B3" s="3" t="s">
        <v>136</v>
      </c>
      <c r="C3" s="3">
        <v>2.5000000000000001E-2</v>
      </c>
      <c r="D3" s="3">
        <v>0.05</v>
      </c>
    </row>
    <row r="4" spans="1:4" ht="15" customHeight="1">
      <c r="A4" s="2">
        <v>3</v>
      </c>
      <c r="B4" s="3" t="s">
        <v>137</v>
      </c>
      <c r="C4" s="3">
        <v>1.7500000000000002E-2</v>
      </c>
      <c r="D4" s="3">
        <v>3.5000000000000003E-2</v>
      </c>
    </row>
    <row r="5" spans="1:4" ht="15" customHeight="1">
      <c r="A5" s="2">
        <v>4</v>
      </c>
      <c r="B5" s="3" t="s">
        <v>138</v>
      </c>
      <c r="C5" s="3">
        <v>0.01</v>
      </c>
      <c r="D5" s="3">
        <v>0.02</v>
      </c>
    </row>
    <row r="7" spans="1:4" ht="15" customHeight="1">
      <c r="A7" s="4"/>
    </row>
    <row r="8" spans="1:4" ht="15" customHeight="1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8"/>
  <sheetViews>
    <sheetView zoomScaleNormal="100" workbookViewId="0">
      <pane ySplit="1" topLeftCell="A2" activePane="bottomLeft" state="frozen"/>
      <selection pane="bottomLeft" activeCell="B6" sqref="B6"/>
    </sheetView>
  </sheetViews>
  <sheetFormatPr defaultColWidth="8.7109375" defaultRowHeight="15"/>
  <cols>
    <col min="1" max="1" width="13" customWidth="1"/>
    <col min="2" max="2" width="70" customWidth="1"/>
    <col min="3" max="4" width="12" customWidth="1"/>
  </cols>
  <sheetData>
    <row r="1" spans="1:4" ht="15" customHeight="1">
      <c r="A1" s="1" t="s">
        <v>139</v>
      </c>
      <c r="B1" s="1" t="s">
        <v>124</v>
      </c>
      <c r="C1" s="1" t="s">
        <v>140</v>
      </c>
      <c r="D1" s="1" t="s">
        <v>141</v>
      </c>
    </row>
    <row r="2" spans="1:4" ht="15" customHeight="1">
      <c r="A2" s="2">
        <v>1</v>
      </c>
      <c r="B2" s="3" t="s">
        <v>142</v>
      </c>
      <c r="C2" s="3">
        <v>0.98</v>
      </c>
      <c r="D2" s="3">
        <v>0.9</v>
      </c>
    </row>
    <row r="3" spans="1:4" ht="15" customHeight="1">
      <c r="A3" s="2">
        <v>2</v>
      </c>
      <c r="B3" s="3" t="s">
        <v>143</v>
      </c>
      <c r="C3" s="3">
        <v>0.99</v>
      </c>
      <c r="D3" s="3">
        <v>1</v>
      </c>
    </row>
    <row r="4" spans="1:4" ht="15" customHeight="1">
      <c r="A4" s="2">
        <v>3</v>
      </c>
      <c r="B4" s="3" t="s">
        <v>144</v>
      </c>
      <c r="C4" s="3">
        <v>1</v>
      </c>
      <c r="D4" s="3">
        <v>1.1000000000000001</v>
      </c>
    </row>
    <row r="5" spans="1:4" ht="15" customHeight="1">
      <c r="A5" s="2">
        <v>4</v>
      </c>
      <c r="B5" s="3" t="s">
        <v>145</v>
      </c>
      <c r="C5" s="3">
        <v>1.01</v>
      </c>
      <c r="D5" s="3">
        <v>1.4</v>
      </c>
    </row>
    <row r="6" spans="1:4" ht="15" customHeight="1">
      <c r="A6" s="2">
        <v>5</v>
      </c>
      <c r="B6" s="3" t="s">
        <v>146</v>
      </c>
      <c r="C6" s="3">
        <v>1.03</v>
      </c>
      <c r="D6" s="3">
        <v>1.6</v>
      </c>
    </row>
    <row r="8" spans="1:4" ht="15" customHeight="1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9"/>
  <sheetViews>
    <sheetView zoomScaleNormal="100" workbookViewId="0">
      <pane ySplit="1" topLeftCell="A2" activePane="bottomLeft" state="frozen"/>
      <selection pane="bottomLeft" activeCell="A8" sqref="A8:XFD9"/>
    </sheetView>
  </sheetViews>
  <sheetFormatPr defaultColWidth="8.7109375" defaultRowHeight="15"/>
  <cols>
    <col min="1" max="2" width="12" customWidth="1"/>
    <col min="3" max="3" width="21" customWidth="1"/>
    <col min="4" max="4" width="14" customWidth="1"/>
  </cols>
  <sheetData>
    <row r="1" spans="1:4" ht="15" customHeight="1">
      <c r="A1" s="1" t="s">
        <v>147</v>
      </c>
      <c r="B1" s="1" t="s">
        <v>124</v>
      </c>
      <c r="C1" s="1" t="s">
        <v>148</v>
      </c>
      <c r="D1" s="1" t="s">
        <v>149</v>
      </c>
    </row>
    <row r="2" spans="1:4" ht="15" customHeight="1">
      <c r="A2" s="2">
        <v>1</v>
      </c>
      <c r="B2" s="3" t="s">
        <v>150</v>
      </c>
      <c r="C2" s="3">
        <v>160</v>
      </c>
      <c r="D2" s="3">
        <v>110000</v>
      </c>
    </row>
    <row r="3" spans="1:4" ht="15" customHeight="1">
      <c r="A3" s="2">
        <v>2</v>
      </c>
      <c r="B3" s="3" t="s">
        <v>151</v>
      </c>
      <c r="C3" s="3">
        <v>140</v>
      </c>
      <c r="D3" s="3">
        <v>90000</v>
      </c>
    </row>
    <row r="4" spans="1:4" ht="15" customHeight="1">
      <c r="A4" s="2">
        <v>3</v>
      </c>
      <c r="B4" s="3" t="s">
        <v>152</v>
      </c>
      <c r="C4" s="3">
        <v>115</v>
      </c>
      <c r="D4" s="3">
        <v>70000</v>
      </c>
    </row>
    <row r="5" spans="1:4" ht="15" customHeight="1">
      <c r="A5" s="2">
        <v>4</v>
      </c>
      <c r="B5" s="3" t="s">
        <v>153</v>
      </c>
      <c r="C5" s="3">
        <v>85</v>
      </c>
      <c r="D5" s="3">
        <v>35000</v>
      </c>
    </row>
    <row r="6" spans="1:4" ht="15" customHeight="1">
      <c r="A6" s="2">
        <v>5</v>
      </c>
      <c r="B6" s="3" t="s">
        <v>154</v>
      </c>
      <c r="C6" s="3">
        <v>60</v>
      </c>
      <c r="D6" s="3">
        <v>20000</v>
      </c>
    </row>
    <row r="8" spans="1:4" ht="15" customHeight="1">
      <c r="A8" s="4"/>
    </row>
    <row r="9" spans="1:4" ht="15" customHeight="1">
      <c r="A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1"/>
  <sheetViews>
    <sheetView zoomScaleNormal="100" workbookViewId="0">
      <pane ySplit="1" topLeftCell="A2" activePane="bottomLeft" state="frozen"/>
      <selection pane="bottomLeft" activeCell="A14" sqref="A14:XFD21"/>
    </sheetView>
  </sheetViews>
  <sheetFormatPr defaultColWidth="8.7109375" defaultRowHeight="15"/>
  <cols>
    <col min="1" max="1" width="16" customWidth="1"/>
    <col min="2" max="2" width="14" customWidth="1"/>
    <col min="3" max="3" width="34" customWidth="1"/>
  </cols>
  <sheetData>
    <row r="1" spans="1:3" ht="15" customHeight="1">
      <c r="A1" s="1" t="s">
        <v>155</v>
      </c>
      <c r="B1" s="1" t="s">
        <v>156</v>
      </c>
      <c r="C1" s="1" t="s">
        <v>157</v>
      </c>
    </row>
    <row r="2" spans="1:3" ht="15" customHeight="1">
      <c r="A2" s="5" t="s">
        <v>158</v>
      </c>
      <c r="B2" s="3">
        <v>9.2499999999999995E-6</v>
      </c>
      <c r="C2" s="3" t="s">
        <v>159</v>
      </c>
    </row>
    <row r="3" spans="1:3" ht="15" customHeight="1">
      <c r="A3" s="5" t="s">
        <v>160</v>
      </c>
      <c r="B3" s="3">
        <v>1</v>
      </c>
      <c r="C3" s="3" t="s">
        <v>161</v>
      </c>
    </row>
    <row r="4" spans="1:3" ht="15" customHeight="1">
      <c r="A4" s="5" t="s">
        <v>162</v>
      </c>
      <c r="B4" s="3">
        <v>3.06</v>
      </c>
      <c r="C4" s="3" t="s">
        <v>163</v>
      </c>
    </row>
    <row r="5" spans="1:3" ht="15" customHeight="1">
      <c r="A5" s="5" t="s">
        <v>164</v>
      </c>
      <c r="B5" s="3">
        <v>1</v>
      </c>
      <c r="C5" s="3" t="s">
        <v>165</v>
      </c>
    </row>
    <row r="6" spans="1:3" ht="15" customHeight="1">
      <c r="A6" s="5" t="s">
        <v>166</v>
      </c>
      <c r="B6" s="3">
        <v>4.5</v>
      </c>
      <c r="C6" s="3" t="s">
        <v>167</v>
      </c>
    </row>
    <row r="7" spans="1:3" ht="15" customHeight="1">
      <c r="A7" s="5" t="s">
        <v>168</v>
      </c>
      <c r="B7" s="3">
        <v>-2</v>
      </c>
      <c r="C7" s="3" t="s">
        <v>169</v>
      </c>
    </row>
    <row r="8" spans="1:3" ht="15" customHeight="1">
      <c r="A8" s="5" t="s">
        <v>170</v>
      </c>
      <c r="B8" s="3">
        <v>213.96744000000001</v>
      </c>
      <c r="C8" s="3" t="s">
        <v>171</v>
      </c>
    </row>
    <row r="9" spans="1:3" ht="15" customHeight="1">
      <c r="A9" s="5" t="s">
        <v>172</v>
      </c>
      <c r="B9" s="3">
        <v>-39.579185000000003</v>
      </c>
      <c r="C9" s="3" t="s">
        <v>173</v>
      </c>
    </row>
    <row r="10" spans="1:3" ht="15" customHeight="1">
      <c r="A10" s="5" t="s">
        <v>174</v>
      </c>
      <c r="B10" s="3">
        <v>2.3020512000000002</v>
      </c>
      <c r="C10" s="3" t="s">
        <v>175</v>
      </c>
    </row>
    <row r="11" spans="1:3" ht="15" customHeight="1">
      <c r="A11" s="5" t="s">
        <v>176</v>
      </c>
      <c r="B11" s="3">
        <v>0</v>
      </c>
      <c r="C11" s="3" t="s">
        <v>177</v>
      </c>
    </row>
    <row r="12" spans="1:3" ht="15" customHeight="1">
      <c r="A12" s="5" t="s">
        <v>178</v>
      </c>
      <c r="B12" s="3">
        <v>1</v>
      </c>
      <c r="C12" s="3" t="s">
        <v>179</v>
      </c>
    </row>
    <row r="14" spans="1:3" ht="15" customHeight="1">
      <c r="A14" s="6"/>
    </row>
    <row r="15" spans="1:3" ht="15" customHeight="1">
      <c r="A15" s="4"/>
    </row>
    <row r="16" spans="1:3" ht="15" customHeight="1">
      <c r="A16" s="4"/>
    </row>
    <row r="17" spans="1:1" ht="15" customHeight="1">
      <c r="A17" s="4"/>
    </row>
    <row r="18" spans="1:1" ht="15" customHeight="1">
      <c r="A18" s="4"/>
    </row>
    <row r="19" spans="1:1" ht="15" customHeight="1">
      <c r="A19" s="4"/>
    </row>
    <row r="20" spans="1:1" ht="15" customHeight="1">
      <c r="A20" s="4"/>
    </row>
    <row r="21" spans="1:1" ht="15" customHeight="1">
      <c r="A21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"/>
  <sheetViews>
    <sheetView zoomScaleNormal="100" workbookViewId="0">
      <pane ySplit="1" topLeftCell="A2" activePane="bottomLeft" state="frozen"/>
      <selection pane="bottomLeft" activeCell="A8" sqref="A8:XFD10"/>
    </sheetView>
  </sheetViews>
  <sheetFormatPr defaultColWidth="8.7109375" defaultRowHeight="15"/>
  <cols>
    <col min="1" max="1" width="13" customWidth="1"/>
    <col min="2" max="3" width="10" customWidth="1"/>
    <col min="4" max="4" width="8" customWidth="1"/>
    <col min="5" max="6" width="10" customWidth="1"/>
  </cols>
  <sheetData>
    <row r="1" spans="1:6" ht="15" customHeight="1">
      <c r="A1" s="7" t="s">
        <v>139</v>
      </c>
      <c r="B1" s="7" t="s">
        <v>180</v>
      </c>
      <c r="C1" s="7" t="s">
        <v>181</v>
      </c>
      <c r="D1" s="7" t="s">
        <v>116</v>
      </c>
      <c r="E1" s="7" t="s">
        <v>182</v>
      </c>
      <c r="F1" s="7" t="s">
        <v>183</v>
      </c>
    </row>
    <row r="2" spans="1:6" ht="15" customHeight="1">
      <c r="A2" s="8">
        <v>1</v>
      </c>
      <c r="B2" s="3">
        <v>1.39</v>
      </c>
      <c r="C2" s="3">
        <v>1.84</v>
      </c>
      <c r="D2" s="3">
        <v>0.79200000000000004</v>
      </c>
      <c r="E2" s="3">
        <v>321.33999999999997</v>
      </c>
      <c r="F2" s="3">
        <v>-12.99</v>
      </c>
    </row>
    <row r="3" spans="1:6" ht="15" customHeight="1">
      <c r="A3" s="8">
        <v>2</v>
      </c>
      <c r="B3" s="3">
        <v>1.28</v>
      </c>
      <c r="C3" s="3">
        <v>1.73</v>
      </c>
      <c r="D3" s="3">
        <v>0.79400000000000004</v>
      </c>
      <c r="E3" s="3">
        <v>88.025000000000006</v>
      </c>
      <c r="F3" s="3">
        <v>-12.061</v>
      </c>
    </row>
    <row r="4" spans="1:6" ht="15" customHeight="1">
      <c r="A4" s="8">
        <v>3</v>
      </c>
      <c r="B4" s="3">
        <v>1.19</v>
      </c>
      <c r="C4" s="3">
        <v>1.64</v>
      </c>
      <c r="D4" s="3">
        <v>0.79600000000000004</v>
      </c>
      <c r="E4" s="3">
        <v>32.189</v>
      </c>
      <c r="F4" s="3">
        <v>-11.297000000000001</v>
      </c>
    </row>
    <row r="5" spans="1:6" ht="15" customHeight="1">
      <c r="A5" s="8">
        <v>4</v>
      </c>
      <c r="B5" s="3">
        <v>1.1299999999999999</v>
      </c>
      <c r="C5" s="3">
        <v>1.58</v>
      </c>
      <c r="D5" s="3">
        <v>0.79600000000000004</v>
      </c>
      <c r="E5" s="3">
        <v>16.945</v>
      </c>
      <c r="F5" s="3">
        <v>-10.79</v>
      </c>
    </row>
    <row r="6" spans="1:6" ht="15" customHeight="1">
      <c r="A6" s="8">
        <v>5</v>
      </c>
      <c r="B6" s="3">
        <v>1.05</v>
      </c>
      <c r="C6" s="3">
        <v>1.5</v>
      </c>
      <c r="D6" s="3">
        <v>0.79900000000000004</v>
      </c>
      <c r="E6" s="3">
        <v>7.47</v>
      </c>
      <c r="F6" s="3">
        <v>-10.1</v>
      </c>
    </row>
    <row r="8" spans="1:6" ht="15" customHeight="1">
      <c r="A8" s="4"/>
    </row>
    <row r="9" spans="1:6" ht="15" customHeight="1">
      <c r="A9" s="4"/>
    </row>
    <row r="10" spans="1:6" ht="15" customHeight="1">
      <c r="A10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8"/>
  <sheetViews>
    <sheetView zoomScaleNormal="100" workbookViewId="0">
      <pane ySplit="1" topLeftCell="A2" activePane="bottomLeft" state="frozen"/>
      <selection pane="bottomLeft" activeCell="A7" sqref="A7:XFD8"/>
    </sheetView>
  </sheetViews>
  <sheetFormatPr defaultColWidth="8.7109375" defaultRowHeight="15"/>
  <cols>
    <col min="1" max="1" width="16" customWidth="1"/>
    <col min="2" max="2" width="12" customWidth="1"/>
    <col min="3" max="3" width="10" customWidth="1"/>
  </cols>
  <sheetData>
    <row r="1" spans="1:3" ht="15" customHeight="1">
      <c r="A1" s="7" t="s">
        <v>184</v>
      </c>
      <c r="B1" s="7" t="s">
        <v>185</v>
      </c>
      <c r="C1" s="7" t="s">
        <v>186</v>
      </c>
    </row>
    <row r="2" spans="1:3" ht="15" customHeight="1">
      <c r="A2" s="8">
        <v>0</v>
      </c>
      <c r="B2" s="3">
        <v>0</v>
      </c>
      <c r="C2" s="3">
        <v>0</v>
      </c>
    </row>
    <row r="3" spans="1:3" ht="15" customHeight="1">
      <c r="A3" s="8">
        <v>1</v>
      </c>
      <c r="B3" s="3">
        <v>-0.03</v>
      </c>
      <c r="C3" s="3">
        <v>5.0000000000000001E-4</v>
      </c>
    </row>
    <row r="4" spans="1:3" ht="15" customHeight="1">
      <c r="A4" s="8">
        <v>2</v>
      </c>
      <c r="B4" s="3">
        <v>-0.1</v>
      </c>
      <c r="C4" s="3">
        <v>1E-3</v>
      </c>
    </row>
    <row r="5" spans="1:3" ht="15" customHeight="1">
      <c r="A5" s="8">
        <v>3</v>
      </c>
      <c r="B5" s="3">
        <v>0.02</v>
      </c>
      <c r="C5" s="3">
        <v>0</v>
      </c>
    </row>
    <row r="7" spans="1:3" ht="15" customHeight="1">
      <c r="A7" s="4"/>
    </row>
    <row r="8" spans="1:3" ht="15" customHeight="1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5"/>
  <sheetViews>
    <sheetView zoomScaleNormal="100" workbookViewId="0">
      <pane ySplit="1" topLeftCell="A2" activePane="bottomLeft" state="frozen"/>
      <selection pane="bottomLeft" activeCell="A10" sqref="A10:XFD15"/>
    </sheetView>
  </sheetViews>
  <sheetFormatPr defaultColWidth="8.7109375" defaultRowHeight="15"/>
  <cols>
    <col min="1" max="2" width="14" customWidth="1"/>
    <col min="3" max="3" width="58" customWidth="1"/>
  </cols>
  <sheetData>
    <row r="1" spans="1:3" ht="15" customHeight="1">
      <c r="A1" s="7" t="s">
        <v>155</v>
      </c>
      <c r="B1" s="7" t="s">
        <v>156</v>
      </c>
      <c r="C1" s="7" t="s">
        <v>157</v>
      </c>
    </row>
    <row r="2" spans="1:3" ht="15" customHeight="1">
      <c r="A2" s="9" t="s">
        <v>187</v>
      </c>
      <c r="B2" s="3">
        <v>0.99399999999999999</v>
      </c>
      <c r="C2" s="3" t="s">
        <v>165</v>
      </c>
    </row>
    <row r="3" spans="1:3" ht="15" customHeight="1">
      <c r="A3" s="9" t="s">
        <v>188</v>
      </c>
      <c r="B3" s="3">
        <v>3.6950899999999999E-5</v>
      </c>
      <c r="C3" s="3" t="s">
        <v>189</v>
      </c>
    </row>
    <row r="4" spans="1:3" ht="15" customHeight="1">
      <c r="A4" s="9" t="s">
        <v>190</v>
      </c>
      <c r="B4" s="3">
        <v>11.628251000000001</v>
      </c>
      <c r="C4" s="3" t="s">
        <v>191</v>
      </c>
    </row>
    <row r="5" spans="1:3" ht="15" customHeight="1">
      <c r="A5" s="9" t="s">
        <v>192</v>
      </c>
      <c r="B5" s="3">
        <v>-1.1878</v>
      </c>
      <c r="C5" s="3" t="s">
        <v>193</v>
      </c>
    </row>
    <row r="6" spans="1:3" ht="15" customHeight="1">
      <c r="A6" s="9" t="s">
        <v>194</v>
      </c>
      <c r="B6" s="3">
        <v>-8.4931999999999999</v>
      </c>
      <c r="C6" s="3" t="s">
        <v>195</v>
      </c>
    </row>
    <row r="7" spans="1:3" ht="15" customHeight="1">
      <c r="A7" s="9" t="s">
        <v>176</v>
      </c>
      <c r="B7" s="3">
        <v>0</v>
      </c>
      <c r="C7" s="3" t="s">
        <v>177</v>
      </c>
    </row>
    <row r="8" spans="1:3" ht="15" customHeight="1">
      <c r="A8" s="9" t="s">
        <v>178</v>
      </c>
      <c r="B8" s="3">
        <v>0.99399999999999999</v>
      </c>
      <c r="C8" s="3" t="s">
        <v>196</v>
      </c>
    </row>
    <row r="10" spans="1:3" ht="15" customHeight="1">
      <c r="A10" s="10"/>
    </row>
    <row r="11" spans="1:3" ht="15" customHeight="1">
      <c r="A11" s="4"/>
    </row>
    <row r="12" spans="1:3" ht="15" customHeight="1">
      <c r="A12" s="4"/>
    </row>
    <row r="13" spans="1:3" ht="15" customHeight="1">
      <c r="A13" s="4"/>
    </row>
    <row r="14" spans="1:3" ht="15" customHeight="1">
      <c r="A14" s="4"/>
    </row>
    <row r="15" spans="1:3" ht="15" customHeight="1">
      <c r="A15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8"/>
  <sheetViews>
    <sheetView zoomScaleNormal="100" workbookViewId="0">
      <pane ySplit="1" topLeftCell="A2" activePane="bottomLeft" state="frozen"/>
      <selection pane="bottomLeft" activeCell="A8" sqref="A8:XFD8"/>
    </sheetView>
  </sheetViews>
  <sheetFormatPr defaultColWidth="8.7109375" defaultRowHeight="15"/>
  <cols>
    <col min="1" max="1" width="13" customWidth="1"/>
    <col min="2" max="2" width="12" customWidth="1"/>
  </cols>
  <sheetData>
    <row r="1" spans="1:2">
      <c r="A1" s="11" t="s">
        <v>139</v>
      </c>
      <c r="B1" s="11" t="s">
        <v>197</v>
      </c>
    </row>
    <row r="2" spans="1:2">
      <c r="A2" s="12">
        <v>1</v>
      </c>
      <c r="B2" s="3" t="s">
        <v>198</v>
      </c>
    </row>
    <row r="3" spans="1:2">
      <c r="A3" s="12">
        <v>2</v>
      </c>
      <c r="B3" s="3" t="s">
        <v>198</v>
      </c>
    </row>
    <row r="4" spans="1:2">
      <c r="A4" s="12">
        <v>3</v>
      </c>
      <c r="B4" s="3" t="s">
        <v>199</v>
      </c>
    </row>
    <row r="5" spans="1:2">
      <c r="A5" s="12">
        <v>4</v>
      </c>
      <c r="B5" s="3" t="s">
        <v>199</v>
      </c>
    </row>
    <row r="6" spans="1:2">
      <c r="A6" s="12">
        <v>5</v>
      </c>
      <c r="B6" s="3" t="s">
        <v>199</v>
      </c>
    </row>
    <row r="8" spans="1:2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8"/>
  <sheetViews>
    <sheetView zoomScaleNormal="100" workbookViewId="0">
      <pane ySplit="1" topLeftCell="A2" activePane="bottomLeft" state="frozen"/>
      <selection pane="bottomLeft" activeCell="D65" sqref="D65"/>
    </sheetView>
  </sheetViews>
  <sheetFormatPr defaultColWidth="8.7109375" defaultRowHeight="15"/>
  <cols>
    <col min="1" max="2" width="12" customWidth="1"/>
    <col min="3" max="3" width="14" customWidth="1"/>
  </cols>
  <sheetData>
    <row r="1" spans="1:3">
      <c r="A1" s="11" t="s">
        <v>197</v>
      </c>
      <c r="B1" s="11" t="s">
        <v>187</v>
      </c>
      <c r="C1" s="11" t="s">
        <v>200</v>
      </c>
    </row>
    <row r="2" spans="1:3">
      <c r="A2" s="12" t="s">
        <v>198</v>
      </c>
      <c r="B2" s="3">
        <v>1.0541326</v>
      </c>
      <c r="C2" s="3">
        <v>-9.8126979999999999E-3</v>
      </c>
    </row>
    <row r="3" spans="1:3">
      <c r="A3" s="12" t="s">
        <v>199</v>
      </c>
      <c r="B3" s="3">
        <v>1.0744899999999999</v>
      </c>
      <c r="C3" s="3">
        <v>-1.3431848999999999E-2</v>
      </c>
    </row>
    <row r="5" spans="1:3">
      <c r="A5" s="13"/>
    </row>
    <row r="6" spans="1:3">
      <c r="A6" s="4"/>
    </row>
    <row r="7" spans="1:3">
      <c r="A7" s="4"/>
    </row>
    <row r="8" spans="1:3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E779D-EE07-4BAA-A5AD-49FE70D75EAE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2026-07-07T16:55:22Z</dcterms:created>
  <dcterms:modified xsi:type="dcterms:W3CDTF">2026-07-23T19:20:49Z</dcterms:modified>
  <cp:category/>
  <cp:contentStatus/>
</cp:coreProperties>
</file>