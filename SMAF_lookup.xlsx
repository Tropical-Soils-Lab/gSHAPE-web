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mohkam_singh_ufl_edu/Documents/Mohkam Singh - WORDLY/Research Projects/PhD Research/gSHAPE/SMAF for gSHAPE/"/>
    </mc:Choice>
  </mc:AlternateContent>
  <xr:revisionPtr revIDLastSave="0" documentId="8_{C16A6451-5FD5-48A6-AC8C-4C7CBED5ADEE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ph_factors" sheetId="14" r:id="rId1"/>
    <sheet name="crop_factors" sheetId="1" r:id="rId2"/>
    <sheet name="method_factors" sheetId="2" r:id="rId3"/>
    <sheet name="weathering_classes" sheetId="3" r:id="rId4"/>
    <sheet name="om_factors" sheetId="4" r:id="rId5"/>
    <sheet name="texture_factors" sheetId="5" r:id="rId6"/>
    <sheet name="slope_factors" sheetId="6" r:id="rId7"/>
    <sheet name="constants" sheetId="7" r:id="rId8"/>
    <sheet name="bd_texture_factors" sheetId="8" r:id="rId9"/>
    <sheet name="bd_mineralogy_factors" sheetId="9" r:id="rId10"/>
    <sheet name="bd_constants" sheetId="10" r:id="rId11"/>
    <sheet name="exk_texture_params" sheetId="11" r:id="rId12"/>
    <sheet name="exk_constants" sheetId="12" r:id="rId13"/>
    <sheet name="Sheet1" sheetId="13" r:id="rId14"/>
  </sheets>
  <definedNames>
    <definedName name="_xlnm._FilterDatabase" localSheetId="1" hidden="1">crop_factors!$A$1:$E$109</definedName>
    <definedName name="_xlnm._FilterDatabase" localSheetId="0" hidden="1">ph_factors!$A$1:$C$1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7" i="1" l="1"/>
  <c r="E98" i="1"/>
  <c r="E24" i="1"/>
  <c r="E59" i="1"/>
  <c r="E48" i="1"/>
  <c r="E58" i="1"/>
  <c r="E73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7" i="1"/>
  <c r="E56" i="1"/>
  <c r="E55" i="1"/>
  <c r="E54" i="1"/>
  <c r="E53" i="1"/>
  <c r="E52" i="1"/>
  <c r="E51" i="1"/>
  <c r="E50" i="1"/>
  <c r="E49" i="1"/>
  <c r="E47" i="1"/>
  <c r="E46" i="1"/>
  <c r="E45" i="1"/>
  <c r="E44" i="1"/>
  <c r="E43" i="1"/>
  <c r="E42" i="1"/>
  <c r="E41" i="1"/>
  <c r="E40" i="1"/>
  <c r="E38" i="1"/>
  <c r="E37" i="1"/>
  <c r="E36" i="1"/>
  <c r="E35" i="1"/>
  <c r="E34" i="1"/>
  <c r="E31" i="1"/>
  <c r="E32" i="1"/>
  <c r="E33" i="1"/>
  <c r="E30" i="1"/>
  <c r="E29" i="1"/>
  <c r="E28" i="1"/>
  <c r="E27" i="1"/>
  <c r="E26" i="1"/>
  <c r="E25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<sst xmlns="http://schemas.openxmlformats.org/spreadsheetml/2006/main" count="327" uniqueCount="197">
  <si>
    <t>Clean crop name</t>
  </si>
  <si>
    <t>pH_min</t>
  </si>
  <si>
    <t>pH_max</t>
  </si>
  <si>
    <t>alfalfa</t>
  </si>
  <si>
    <t>almond</t>
  </si>
  <si>
    <t>apples</t>
  </si>
  <si>
    <t>apricot</t>
  </si>
  <si>
    <t>asparagus</t>
  </si>
  <si>
    <t>avocado</t>
  </si>
  <si>
    <t>banana</t>
  </si>
  <si>
    <t>barley, malt barley</t>
  </si>
  <si>
    <t>beans, dried</t>
  </si>
  <si>
    <t>beet, red</t>
  </si>
  <si>
    <t>bermuda grass, coastal</t>
  </si>
  <si>
    <t>blackberry</t>
  </si>
  <si>
    <t>blueberries</t>
  </si>
  <si>
    <t>bluegrass</t>
  </si>
  <si>
    <t>bluestem, big</t>
  </si>
  <si>
    <t>bluestem, little</t>
  </si>
  <si>
    <t>boysenberry</t>
  </si>
  <si>
    <t>broccoli</t>
  </si>
  <si>
    <t>buckwheat</t>
  </si>
  <si>
    <t>cabbage</t>
  </si>
  <si>
    <t>cantaloupe</t>
  </si>
  <si>
    <t>carrot</t>
  </si>
  <si>
    <t>cassava</t>
  </si>
  <si>
    <t>cauliflower</t>
  </si>
  <si>
    <t>celery</t>
  </si>
  <si>
    <t>cherries</t>
  </si>
  <si>
    <t>clover, berseem</t>
  </si>
  <si>
    <t>clover, white</t>
  </si>
  <si>
    <t>coffee</t>
  </si>
  <si>
    <t>corn, grain</t>
  </si>
  <si>
    <t>corn, pop</t>
  </si>
  <si>
    <t>corn, sweet</t>
  </si>
  <si>
    <t>cotton</t>
  </si>
  <si>
    <t>cowpea</t>
  </si>
  <si>
    <t>cranberries</t>
  </si>
  <si>
    <t>cucumber</t>
  </si>
  <si>
    <t>date</t>
  </si>
  <si>
    <t>eucalyptus</t>
  </si>
  <si>
    <t>fava or broad bean</t>
  </si>
  <si>
    <t>fescue, tall</t>
  </si>
  <si>
    <t>flaxseed; flax</t>
  </si>
  <si>
    <t>foxtail, meadow</t>
  </si>
  <si>
    <t>garlic</t>
  </si>
  <si>
    <t>grape</t>
  </si>
  <si>
    <t>grapefruit</t>
  </si>
  <si>
    <t>guava</t>
  </si>
  <si>
    <t>hickory</t>
  </si>
  <si>
    <t>hops</t>
  </si>
  <si>
    <t>indian grass</t>
  </si>
  <si>
    <t>johnsongrass</t>
  </si>
  <si>
    <t>lentils</t>
  </si>
  <si>
    <t>lettuce</t>
  </si>
  <si>
    <t>macadamia orchards</t>
  </si>
  <si>
    <t>melon</t>
  </si>
  <si>
    <t>millet</t>
  </si>
  <si>
    <t>mulberry</t>
  </si>
  <si>
    <t>oak, white</t>
  </si>
  <si>
    <t>oak, southern red</t>
  </si>
  <si>
    <t>oat</t>
  </si>
  <si>
    <t>olive</t>
  </si>
  <si>
    <t>onion</t>
  </si>
  <si>
    <t>orange</t>
  </si>
  <si>
    <t>orchard grass</t>
  </si>
  <si>
    <t>papaya</t>
  </si>
  <si>
    <t>pea, field; peas</t>
  </si>
  <si>
    <t>peach</t>
  </si>
  <si>
    <t>peanut</t>
  </si>
  <si>
    <t>pear</t>
  </si>
  <si>
    <t>pecans</t>
  </si>
  <si>
    <t>pepper</t>
  </si>
  <si>
    <t>pine, lodgepole</t>
  </si>
  <si>
    <t>pine, longleaf</t>
  </si>
  <si>
    <t>pine, ponderosa</t>
  </si>
  <si>
    <t>pine, slash</t>
  </si>
  <si>
    <t>pineapple</t>
  </si>
  <si>
    <t>plum</t>
  </si>
  <si>
    <t>poppy</t>
  </si>
  <si>
    <t>potato</t>
  </si>
  <si>
    <t>radish</t>
  </si>
  <si>
    <t>raspberry</t>
  </si>
  <si>
    <t>rice, paddy</t>
  </si>
  <si>
    <t>ryegrass, annual</t>
  </si>
  <si>
    <t>ryegrass, perennial</t>
  </si>
  <si>
    <t>safflower</t>
  </si>
  <si>
    <t>sorghum</t>
  </si>
  <si>
    <t>sorghum, grain sorghum</t>
  </si>
  <si>
    <t>soybean</t>
  </si>
  <si>
    <t>spinach</t>
  </si>
  <si>
    <t>squash, scallop</t>
  </si>
  <si>
    <t>strawberry</t>
  </si>
  <si>
    <t>sudangrass</t>
  </si>
  <si>
    <t>sugarbeet</t>
  </si>
  <si>
    <t>sugarcane</t>
  </si>
  <si>
    <t>sunflower</t>
  </si>
  <si>
    <t>sweet potato</t>
  </si>
  <si>
    <t>tea</t>
  </si>
  <si>
    <t>teff</t>
  </si>
  <si>
    <t>timothy</t>
  </si>
  <si>
    <t>tobacco</t>
  </si>
  <si>
    <t>tomato</t>
  </si>
  <si>
    <t>triticale</t>
  </si>
  <si>
    <t>turnip</t>
  </si>
  <si>
    <t>vetch</t>
  </si>
  <si>
    <t>walnut</t>
  </si>
  <si>
    <t>watermelon</t>
  </si>
  <si>
    <t>wheat, durum</t>
  </si>
  <si>
    <t>wheat, spring</t>
  </si>
  <si>
    <t>winter wheat</t>
  </si>
  <si>
    <t>zucchini</t>
  </si>
  <si>
    <t>crop_code</t>
  </si>
  <si>
    <t>crop_name</t>
  </si>
  <si>
    <t>popt</t>
  </si>
  <si>
    <t>pmax</t>
  </si>
  <si>
    <t>b1</t>
  </si>
  <si>
    <t>method_code</t>
  </si>
  <si>
    <t>weathering_class</t>
  </si>
  <si>
    <t>method_factor</t>
  </si>
  <si>
    <t>meaning</t>
  </si>
  <si>
    <t>definition</t>
  </si>
  <si>
    <t>calcareous</t>
  </si>
  <si>
    <t>calcareous reaction class</t>
  </si>
  <si>
    <t>highly_weathered</t>
  </si>
  <si>
    <t>Ultisols, Oxisols, acidic Ochrepts, Quartzipsamments, Ultic Alfisols</t>
  </si>
  <si>
    <t>slightly_weathered</t>
  </si>
  <si>
    <t>all others</t>
  </si>
  <si>
    <t>om_class</t>
  </si>
  <si>
    <t>om_fp1_b2</t>
  </si>
  <si>
    <t>om_fp2_c2</t>
  </si>
  <si>
    <t>high</t>
  </si>
  <si>
    <t>mod_high</t>
  </si>
  <si>
    <t>mod_low</t>
  </si>
  <si>
    <t>low</t>
  </si>
  <si>
    <t>texture_code</t>
  </si>
  <si>
    <t>txt_fp1_b3</t>
  </si>
  <si>
    <t>txt_fp2_c3</t>
  </si>
  <si>
    <t>sand / loamy sand / sandy loam (&lt;8% clay)</t>
  </si>
  <si>
    <t>sandy loam (&gt;8% clay) / sandy clay loam / loam</t>
  </si>
  <si>
    <t>silt loam / silt</t>
  </si>
  <si>
    <t>sandy clay / clay loam / silty clay loam / silty clay / clay (&lt;60% clay)</t>
  </si>
  <si>
    <t>clay (&gt;60% clay)</t>
  </si>
  <si>
    <t>slope_class</t>
  </si>
  <si>
    <t>slope_fp1_envprotect</t>
  </si>
  <si>
    <t>slope_fp2_c1</t>
  </si>
  <si>
    <t>0-2%</t>
  </si>
  <si>
    <t>2-5%</t>
  </si>
  <si>
    <t>5-9%</t>
  </si>
  <si>
    <t>9-15%</t>
  </si>
  <si>
    <t>15%+</t>
  </si>
  <si>
    <t>param_name</t>
  </si>
  <si>
    <t>value</t>
  </si>
  <si>
    <t>description</t>
  </si>
  <si>
    <t>mmf_a</t>
  </si>
  <si>
    <t>MMF fixed parameter a</t>
  </si>
  <si>
    <t>mmf_c</t>
  </si>
  <si>
    <t>MMF fixed parameter c</t>
  </si>
  <si>
    <t>mmf_d</t>
  </si>
  <si>
    <t>MMF fixed exponent d</t>
  </si>
  <si>
    <t>weibull_a</t>
  </si>
  <si>
    <t>Weibull fixed parameter a</t>
  </si>
  <si>
    <t>weibull_b</t>
  </si>
  <si>
    <t>Weibull fixed parameter b</t>
  </si>
  <si>
    <t>weibull_d</t>
  </si>
  <si>
    <t>Weibull fixed exponent d</t>
  </si>
  <si>
    <t>b1_a_prime</t>
  </si>
  <si>
    <t>crop b1 intercept a'</t>
  </si>
  <si>
    <t>b1_b_prime</t>
  </si>
  <si>
    <t>crop b1 linear coef b' (NEGATIVE; source sheet dropped the sign)</t>
  </si>
  <si>
    <t>b1_c_prime</t>
  </si>
  <si>
    <t>crop b1 quadratic coef c'</t>
  </si>
  <si>
    <t>score_min</t>
  </si>
  <si>
    <t>lower clamp on final score</t>
  </si>
  <si>
    <t>score_max</t>
  </si>
  <si>
    <t>upper clamp on final score</t>
  </si>
  <si>
    <t>range_lo</t>
  </si>
  <si>
    <t>range_hi</t>
  </si>
  <si>
    <t>c1</t>
  </si>
  <si>
    <t>d1</t>
  </si>
  <si>
    <t>mineralogy_code</t>
  </si>
  <si>
    <t>range_shift</t>
  </si>
  <si>
    <t>delta_b</t>
  </si>
  <si>
    <t>a</t>
  </si>
  <si>
    <t>c2_coef_a</t>
  </si>
  <si>
    <t>c2 = c2_coef_a * exp(c2_coef_b * (range_lo + range_shift))</t>
  </si>
  <si>
    <t>c2_coef_b</t>
  </si>
  <si>
    <t>c2 exponent coefficient</t>
  </si>
  <si>
    <t>d2_coef_a</t>
  </si>
  <si>
    <t>d2 = d2_coef_a + d2_coef_b * (range_lo + range_shift)</t>
  </si>
  <si>
    <t>d2_coef_b</t>
  </si>
  <si>
    <t>d2 slope coefficient</t>
  </si>
  <si>
    <t>upper clamp (Weibull asymptote a)</t>
  </si>
  <si>
    <t>param_set</t>
  </si>
  <si>
    <t>coarse</t>
  </si>
  <si>
    <t>fine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</si>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</sst>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9"/>
      <color rgb="FF1F4E5F"/>
      <name val="Arial"/>
      <charset val="1"/>
    </font>
    <font>
      <b/>
      <sz val="9"/>
      <color rgb="FF5A3E85"/>
      <name val="Arial"/>
      <charset val="1"/>
    </font>
    <font>
      <b/>
      <sz val="9"/>
      <color rgb="FF1E6B52"/>
      <name val="Arial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5F"/>
        <bgColor rgb="FF1E6B52"/>
      </patternFill>
    </fill>
    <fill>
      <patternFill patternType="solid">
        <fgColor rgb="FFEAF1F3"/>
        <bgColor rgb="FFE6F0EB"/>
      </patternFill>
    </fill>
    <fill>
      <patternFill patternType="solid">
        <fgColor rgb="FF5A3E85"/>
        <bgColor rgb="FF666666"/>
      </patternFill>
    </fill>
    <fill>
      <patternFill patternType="solid">
        <fgColor rgb="FFEDE7F3"/>
        <bgColor rgb="FFEAF1F3"/>
      </patternFill>
    </fill>
    <fill>
      <patternFill patternType="solid">
        <fgColor rgb="FF1E6B52"/>
        <bgColor rgb="FF1F4E5F"/>
      </patternFill>
    </fill>
    <fill>
      <patternFill patternType="solid">
        <fgColor rgb="FFE6F0EB"/>
        <bgColor rgb="FFEAF1F3"/>
      </patternFill>
    </fill>
    <fill>
      <patternFill patternType="solid">
        <fgColor rgb="FFFFFF00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3" borderId="1" xfId="0" applyFont="1" applyFill="1" applyBorder="1" applyAlignment="1">
      <alignment horizontal="left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5" fillId="0" borderId="0" xfId="0" applyFont="1"/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10" fillId="8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/>
    <xf numFmtId="0" fontId="10" fillId="9" borderId="0" xfId="0" applyFont="1" applyFill="1" applyAlignment="1">
      <alignment wrapText="1"/>
    </xf>
    <xf numFmtId="0" fontId="10" fillId="10" borderId="0" xfId="0" applyFont="1" applyFill="1"/>
    <xf numFmtId="0" fontId="12" fillId="3" borderId="1" xfId="0" applyFont="1" applyFill="1" applyBorder="1" applyAlignment="1">
      <alignment horizontal="center"/>
    </xf>
    <xf numFmtId="0" fontId="12" fillId="0" borderId="1" xfId="0" applyFont="1" applyBorder="1"/>
    <xf numFmtId="0" fontId="2" fillId="0" borderId="0" xfId="0" applyFont="1" applyBorder="1"/>
    <xf numFmtId="0" fontId="0" fillId="0" borderId="1" xfId="0" applyBorder="1"/>
    <xf numFmtId="0" fontId="10" fillId="0" borderId="1" xfId="0" applyFont="1" applyBorder="1" applyAlignment="1">
      <alignment wrapText="1"/>
    </xf>
    <xf numFmtId="0" fontId="9" fillId="0" borderId="0" xfId="0" applyFont="1" applyBorder="1"/>
    <xf numFmtId="0" fontId="7" fillId="0" borderId="1" xfId="0" applyFont="1" applyBorder="1"/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52"/>
      <rgbColor rgb="FFC0C0C0"/>
      <rgbColor rgb="FF808080"/>
      <rgbColor rgb="FF9999FF"/>
      <rgbColor rgb="FF993366"/>
      <rgbColor rgb="FFEDE7F3"/>
      <rgbColor rgb="FFE6F0E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5A3E8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C01C-BF2E-442A-817B-F6A0C0A3903D}">
  <dimension ref="A1:G110"/>
  <sheetViews>
    <sheetView workbookViewId="0">
      <selection activeCell="E11" sqref="E11"/>
    </sheetView>
  </sheetViews>
  <sheetFormatPr defaultRowHeight="15"/>
  <cols>
    <col min="1" max="1" width="26.140625" bestFit="1" customWidth="1"/>
    <col min="5" max="5" width="31.85546875" bestFit="1" customWidth="1"/>
  </cols>
  <sheetData>
    <row r="1" spans="1:7" ht="15.75">
      <c r="A1" s="14" t="s">
        <v>0</v>
      </c>
      <c r="B1" t="s">
        <v>1</v>
      </c>
      <c r="C1" t="s">
        <v>2</v>
      </c>
    </row>
    <row r="2" spans="1:7">
      <c r="A2" s="16" t="s">
        <v>3</v>
      </c>
      <c r="B2" s="17">
        <v>6.5</v>
      </c>
      <c r="C2" s="17">
        <v>7.5</v>
      </c>
      <c r="G2" s="3"/>
    </row>
    <row r="3" spans="1:7">
      <c r="A3" s="18" t="s">
        <v>4</v>
      </c>
      <c r="B3" s="17">
        <v>6</v>
      </c>
      <c r="C3" s="17">
        <v>7</v>
      </c>
      <c r="G3" s="3"/>
    </row>
    <row r="4" spans="1:7">
      <c r="A4" t="s">
        <v>5</v>
      </c>
      <c r="B4">
        <v>5.5</v>
      </c>
      <c r="C4">
        <v>7.5</v>
      </c>
      <c r="G4" s="3"/>
    </row>
    <row r="5" spans="1:7">
      <c r="A5" s="18" t="s">
        <v>6</v>
      </c>
      <c r="B5" s="17">
        <v>6</v>
      </c>
      <c r="C5" s="17">
        <v>7</v>
      </c>
      <c r="G5" s="3"/>
    </row>
    <row r="6" spans="1:7">
      <c r="A6" s="18" t="s">
        <v>7</v>
      </c>
      <c r="B6" s="17">
        <v>6</v>
      </c>
      <c r="C6" s="17">
        <v>8</v>
      </c>
      <c r="G6" s="3"/>
    </row>
    <row r="7" spans="1:7">
      <c r="A7" t="s">
        <v>8</v>
      </c>
      <c r="B7">
        <v>6</v>
      </c>
      <c r="C7">
        <v>7.5</v>
      </c>
      <c r="G7" s="3"/>
    </row>
    <row r="8" spans="1:7">
      <c r="A8" t="s">
        <v>9</v>
      </c>
      <c r="B8">
        <v>5</v>
      </c>
      <c r="C8">
        <v>7</v>
      </c>
    </row>
    <row r="9" spans="1:7">
      <c r="A9" t="s">
        <v>10</v>
      </c>
      <c r="B9">
        <v>5.5</v>
      </c>
      <c r="C9">
        <v>6.5</v>
      </c>
    </row>
    <row r="10" spans="1:7">
      <c r="A10" s="15" t="s">
        <v>11</v>
      </c>
      <c r="B10" s="15">
        <v>6</v>
      </c>
      <c r="C10" s="15">
        <v>7</v>
      </c>
    </row>
    <row r="11" spans="1:7">
      <c r="A11" s="18" t="s">
        <v>12</v>
      </c>
      <c r="B11" s="17">
        <v>5.5</v>
      </c>
      <c r="C11" s="17">
        <v>7.5</v>
      </c>
    </row>
    <row r="12" spans="1:7">
      <c r="A12" s="25" t="s">
        <v>13</v>
      </c>
      <c r="B12">
        <v>5.8</v>
      </c>
      <c r="C12">
        <v>7</v>
      </c>
    </row>
    <row r="13" spans="1:7">
      <c r="A13" s="18" t="s">
        <v>14</v>
      </c>
      <c r="B13" s="17">
        <v>5.5</v>
      </c>
      <c r="C13" s="17">
        <v>7</v>
      </c>
    </row>
    <row r="14" spans="1:7">
      <c r="A14" t="s">
        <v>15</v>
      </c>
      <c r="B14">
        <v>4.3</v>
      </c>
      <c r="C14">
        <v>5.5</v>
      </c>
    </row>
    <row r="15" spans="1:7">
      <c r="A15" s="27" t="s">
        <v>16</v>
      </c>
      <c r="B15" s="17">
        <v>6</v>
      </c>
      <c r="C15" s="17">
        <v>7.5</v>
      </c>
    </row>
    <row r="16" spans="1:7">
      <c r="A16" s="27" t="s">
        <v>17</v>
      </c>
      <c r="B16" s="17">
        <v>6</v>
      </c>
      <c r="C16" s="17">
        <v>8</v>
      </c>
    </row>
    <row r="17" spans="1:7">
      <c r="A17" s="27" t="s">
        <v>18</v>
      </c>
      <c r="B17" s="17">
        <v>6</v>
      </c>
      <c r="C17" s="17">
        <v>8</v>
      </c>
    </row>
    <row r="18" spans="1:7">
      <c r="A18" s="18" t="s">
        <v>19</v>
      </c>
      <c r="B18" s="17">
        <v>5.5</v>
      </c>
      <c r="C18" s="17">
        <v>6.5</v>
      </c>
      <c r="F18" s="3"/>
      <c r="G18" s="3"/>
    </row>
    <row r="19" spans="1:7">
      <c r="A19" s="18" t="s">
        <v>20</v>
      </c>
      <c r="B19" s="17">
        <v>6</v>
      </c>
      <c r="C19" s="17">
        <v>7</v>
      </c>
      <c r="F19" s="3"/>
      <c r="G19" s="3"/>
    </row>
    <row r="20" spans="1:7">
      <c r="A20" s="15" t="s">
        <v>21</v>
      </c>
      <c r="B20" s="15">
        <v>5.5</v>
      </c>
      <c r="C20" s="15">
        <v>7</v>
      </c>
    </row>
    <row r="21" spans="1:7">
      <c r="A21" t="s">
        <v>22</v>
      </c>
      <c r="B21">
        <v>5.5</v>
      </c>
      <c r="C21">
        <v>7.5</v>
      </c>
    </row>
    <row r="22" spans="1:7">
      <c r="A22" s="15" t="s">
        <v>23</v>
      </c>
      <c r="B22" s="15">
        <v>6.2</v>
      </c>
      <c r="C22" s="15">
        <v>6.8</v>
      </c>
    </row>
    <row r="23" spans="1:7">
      <c r="A23" t="s">
        <v>24</v>
      </c>
      <c r="B23">
        <v>5.5</v>
      </c>
      <c r="C23">
        <v>7</v>
      </c>
    </row>
    <row r="24" spans="1:7">
      <c r="A24" s="17" t="s">
        <v>25</v>
      </c>
      <c r="B24" s="17">
        <v>5.5</v>
      </c>
      <c r="C24" s="17">
        <v>7</v>
      </c>
    </row>
    <row r="25" spans="1:7">
      <c r="A25" s="18" t="s">
        <v>26</v>
      </c>
      <c r="B25" s="17">
        <v>5.5</v>
      </c>
      <c r="C25" s="17">
        <v>7.5</v>
      </c>
    </row>
    <row r="26" spans="1:7">
      <c r="A26" s="18" t="s">
        <v>27</v>
      </c>
      <c r="B26" s="17">
        <v>6</v>
      </c>
      <c r="C26" s="17">
        <v>7</v>
      </c>
    </row>
    <row r="27" spans="1:7">
      <c r="A27" s="18" t="s">
        <v>28</v>
      </c>
      <c r="B27" s="17">
        <v>6</v>
      </c>
      <c r="C27" s="17">
        <v>7.5</v>
      </c>
    </row>
    <row r="28" spans="1:7">
      <c r="A28" s="19" t="s">
        <v>29</v>
      </c>
      <c r="B28" s="20">
        <v>6</v>
      </c>
      <c r="C28" s="20">
        <v>7</v>
      </c>
    </row>
    <row r="29" spans="1:7">
      <c r="A29" s="19" t="s">
        <v>30</v>
      </c>
      <c r="B29" s="20">
        <v>5.5</v>
      </c>
      <c r="C29" s="20">
        <v>7.5</v>
      </c>
    </row>
    <row r="30" spans="1:7">
      <c r="A30" s="15" t="s">
        <v>31</v>
      </c>
      <c r="B30" s="15">
        <v>5</v>
      </c>
      <c r="C30" s="15">
        <v>6.5</v>
      </c>
    </row>
    <row r="31" spans="1:7">
      <c r="A31" s="25" t="s">
        <v>32</v>
      </c>
      <c r="B31">
        <v>5.8</v>
      </c>
      <c r="C31">
        <v>6.2</v>
      </c>
    </row>
    <row r="32" spans="1:7">
      <c r="A32" s="25" t="s">
        <v>33</v>
      </c>
      <c r="B32">
        <v>5.8</v>
      </c>
      <c r="C32">
        <v>6.2</v>
      </c>
    </row>
    <row r="33" spans="1:3">
      <c r="A33" s="25" t="s">
        <v>34</v>
      </c>
      <c r="B33">
        <v>5.8</v>
      </c>
      <c r="C33">
        <v>6.2</v>
      </c>
    </row>
    <row r="34" spans="1:3">
      <c r="A34" s="15" t="s">
        <v>35</v>
      </c>
      <c r="B34" s="15">
        <v>5.8</v>
      </c>
      <c r="C34" s="15">
        <v>6.5</v>
      </c>
    </row>
    <row r="35" spans="1:3">
      <c r="A35" t="s">
        <v>36</v>
      </c>
      <c r="B35">
        <v>5.5</v>
      </c>
      <c r="C35">
        <v>7</v>
      </c>
    </row>
    <row r="36" spans="1:3">
      <c r="A36" s="18" t="s">
        <v>37</v>
      </c>
      <c r="B36" s="20">
        <v>4</v>
      </c>
      <c r="C36" s="20">
        <v>5</v>
      </c>
    </row>
    <row r="37" spans="1:3">
      <c r="A37" t="s">
        <v>38</v>
      </c>
      <c r="B37">
        <v>5.5</v>
      </c>
      <c r="C37">
        <v>7</v>
      </c>
    </row>
    <row r="38" spans="1:3">
      <c r="A38" s="15" t="s">
        <v>39</v>
      </c>
      <c r="B38" s="15">
        <v>6</v>
      </c>
      <c r="C38" s="15">
        <v>7</v>
      </c>
    </row>
    <row r="39" spans="1:3">
      <c r="A39" s="18" t="s">
        <v>40</v>
      </c>
      <c r="B39" s="17">
        <v>4.5</v>
      </c>
      <c r="C39" s="17">
        <v>6.5</v>
      </c>
    </row>
    <row r="40" spans="1:3">
      <c r="A40" s="15" t="s">
        <v>41</v>
      </c>
      <c r="B40" s="15">
        <v>5.5</v>
      </c>
      <c r="C40" s="15">
        <v>6.7</v>
      </c>
    </row>
    <row r="41" spans="1:3">
      <c r="A41" s="25" t="s">
        <v>42</v>
      </c>
      <c r="B41">
        <v>5.8</v>
      </c>
      <c r="C41">
        <v>7</v>
      </c>
    </row>
    <row r="42" spans="1:3">
      <c r="A42" s="15" t="s">
        <v>43</v>
      </c>
      <c r="B42" s="15">
        <v>6</v>
      </c>
      <c r="C42" s="15">
        <v>7</v>
      </c>
    </row>
    <row r="43" spans="1:3">
      <c r="A43" s="18" t="s">
        <v>44</v>
      </c>
      <c r="B43" s="20">
        <v>6.5</v>
      </c>
      <c r="C43" s="20">
        <v>7</v>
      </c>
    </row>
    <row r="44" spans="1:3">
      <c r="A44" s="15" t="s">
        <v>45</v>
      </c>
      <c r="B44" s="15">
        <v>6</v>
      </c>
      <c r="C44" s="15">
        <v>7</v>
      </c>
    </row>
    <row r="45" spans="1:3">
      <c r="A45" t="s">
        <v>46</v>
      </c>
      <c r="B45">
        <v>6</v>
      </c>
      <c r="C45">
        <v>7.5</v>
      </c>
    </row>
    <row r="46" spans="1:3">
      <c r="A46" s="15" t="s">
        <v>47</v>
      </c>
      <c r="B46" s="15">
        <v>5.5</v>
      </c>
      <c r="C46" s="15">
        <v>6.5</v>
      </c>
    </row>
    <row r="47" spans="1:3">
      <c r="A47" t="s">
        <v>48</v>
      </c>
      <c r="B47">
        <v>5.5</v>
      </c>
      <c r="C47">
        <v>6.8</v>
      </c>
    </row>
    <row r="48" spans="1:3">
      <c r="A48" s="18" t="s">
        <v>49</v>
      </c>
      <c r="B48" s="17">
        <v>4.5</v>
      </c>
      <c r="C48" s="17">
        <v>7.5</v>
      </c>
    </row>
    <row r="49" spans="1:3">
      <c r="A49" s="18" t="s">
        <v>50</v>
      </c>
      <c r="B49" s="17">
        <v>6</v>
      </c>
      <c r="C49" s="17">
        <v>7.5</v>
      </c>
    </row>
    <row r="50" spans="1:3">
      <c r="A50" s="18" t="s">
        <v>51</v>
      </c>
      <c r="B50" s="17">
        <v>5.5</v>
      </c>
      <c r="C50" s="17">
        <v>7</v>
      </c>
    </row>
    <row r="51" spans="1:3">
      <c r="A51" s="27" t="s">
        <v>52</v>
      </c>
      <c r="B51" s="20">
        <v>5.5</v>
      </c>
      <c r="C51" s="20">
        <v>7.5</v>
      </c>
    </row>
    <row r="52" spans="1:3">
      <c r="A52" s="15" t="s">
        <v>53</v>
      </c>
      <c r="B52" s="15">
        <v>6</v>
      </c>
      <c r="C52" s="15">
        <v>8</v>
      </c>
    </row>
    <row r="53" spans="1:3">
      <c r="A53" t="s">
        <v>54</v>
      </c>
      <c r="B53">
        <v>6</v>
      </c>
      <c r="C53">
        <v>7</v>
      </c>
    </row>
    <row r="54" spans="1:3">
      <c r="A54" s="18" t="s">
        <v>55</v>
      </c>
      <c r="B54" s="17">
        <v>5</v>
      </c>
      <c r="C54" s="17">
        <v>6.5</v>
      </c>
    </row>
    <row r="55" spans="1:3">
      <c r="A55" s="18" t="s">
        <v>56</v>
      </c>
      <c r="B55" s="17">
        <v>5.5</v>
      </c>
      <c r="C55" s="17">
        <v>6.5</v>
      </c>
    </row>
    <row r="56" spans="1:3">
      <c r="A56" s="15" t="s">
        <v>57</v>
      </c>
      <c r="B56" s="15">
        <v>6</v>
      </c>
      <c r="C56" s="15">
        <v>7</v>
      </c>
    </row>
    <row r="57" spans="1:3">
      <c r="A57" s="18" t="s">
        <v>58</v>
      </c>
      <c r="B57" s="17">
        <v>6</v>
      </c>
      <c r="C57" s="17">
        <v>7.5</v>
      </c>
    </row>
    <row r="58" spans="1:3">
      <c r="A58" s="27" t="s">
        <v>59</v>
      </c>
      <c r="B58" s="17">
        <v>5</v>
      </c>
      <c r="C58" s="17">
        <v>7.5</v>
      </c>
    </row>
    <row r="59" spans="1:3">
      <c r="A59" s="27" t="s">
        <v>60</v>
      </c>
      <c r="B59" s="17">
        <v>5</v>
      </c>
      <c r="C59" s="17">
        <v>7.5</v>
      </c>
    </row>
    <row r="60" spans="1:3">
      <c r="A60" s="26" t="s">
        <v>61</v>
      </c>
      <c r="B60">
        <v>5.8</v>
      </c>
      <c r="C60">
        <v>7.2</v>
      </c>
    </row>
    <row r="61" spans="1:3">
      <c r="A61" s="29" t="s">
        <v>62</v>
      </c>
      <c r="B61" s="15">
        <v>6</v>
      </c>
      <c r="C61" s="15">
        <v>8</v>
      </c>
    </row>
    <row r="62" spans="1:3">
      <c r="A62" s="26" t="s">
        <v>63</v>
      </c>
      <c r="B62">
        <v>5.5</v>
      </c>
      <c r="C62">
        <v>7</v>
      </c>
    </row>
    <row r="63" spans="1:3">
      <c r="A63" s="26" t="s">
        <v>64</v>
      </c>
      <c r="B63">
        <v>5.6</v>
      </c>
      <c r="C63">
        <v>6.5</v>
      </c>
    </row>
    <row r="64" spans="1:3">
      <c r="A64" s="25" t="s">
        <v>65</v>
      </c>
      <c r="B64">
        <v>5.8</v>
      </c>
      <c r="C64">
        <v>7</v>
      </c>
    </row>
    <row r="65" spans="1:3">
      <c r="A65" t="s">
        <v>66</v>
      </c>
      <c r="B65">
        <v>6</v>
      </c>
      <c r="C65">
        <v>7</v>
      </c>
    </row>
    <row r="66" spans="1:3">
      <c r="A66" t="s">
        <v>67</v>
      </c>
      <c r="B66">
        <v>6</v>
      </c>
      <c r="C66">
        <v>7</v>
      </c>
    </row>
    <row r="67" spans="1:3">
      <c r="A67" t="s">
        <v>68</v>
      </c>
      <c r="B67">
        <v>6</v>
      </c>
      <c r="C67">
        <v>7.5</v>
      </c>
    </row>
    <row r="68" spans="1:3">
      <c r="A68" s="15" t="s">
        <v>69</v>
      </c>
      <c r="B68" s="15">
        <v>6</v>
      </c>
      <c r="C68" s="15">
        <v>6.5</v>
      </c>
    </row>
    <row r="69" spans="1:3">
      <c r="A69" s="18" t="s">
        <v>70</v>
      </c>
      <c r="B69" s="17">
        <v>5</v>
      </c>
      <c r="C69" s="17">
        <v>6.5</v>
      </c>
    </row>
    <row r="70" spans="1:3">
      <c r="A70" s="18" t="s">
        <v>71</v>
      </c>
      <c r="B70" s="17">
        <v>5.5</v>
      </c>
      <c r="C70" s="17">
        <v>6.5</v>
      </c>
    </row>
    <row r="71" spans="1:3">
      <c r="A71" s="15" t="s">
        <v>72</v>
      </c>
      <c r="B71" s="15">
        <v>6</v>
      </c>
      <c r="C71" s="15">
        <v>6.8</v>
      </c>
    </row>
    <row r="72" spans="1:3">
      <c r="A72" s="18" t="s">
        <v>73</v>
      </c>
      <c r="B72" s="17">
        <v>5</v>
      </c>
      <c r="C72" s="17">
        <v>6</v>
      </c>
    </row>
    <row r="73" spans="1:3">
      <c r="A73" s="18" t="s">
        <v>74</v>
      </c>
      <c r="B73" s="17">
        <v>4.5</v>
      </c>
      <c r="C73" s="17">
        <v>7.5</v>
      </c>
    </row>
    <row r="74" spans="1:3">
      <c r="A74" s="18" t="s">
        <v>75</v>
      </c>
      <c r="B74" s="17">
        <v>5</v>
      </c>
      <c r="C74" s="17">
        <v>6</v>
      </c>
    </row>
    <row r="75" spans="1:3">
      <c r="A75" s="15" t="s">
        <v>76</v>
      </c>
      <c r="B75" s="15">
        <v>4</v>
      </c>
      <c r="C75" s="15">
        <v>6</v>
      </c>
    </row>
    <row r="76" spans="1:3">
      <c r="A76" t="s">
        <v>77</v>
      </c>
      <c r="B76">
        <v>5</v>
      </c>
      <c r="C76">
        <v>6</v>
      </c>
    </row>
    <row r="77" spans="1:3">
      <c r="A77" s="18" t="s">
        <v>78</v>
      </c>
      <c r="B77" s="17">
        <v>5.6</v>
      </c>
      <c r="C77" s="17">
        <v>7.5</v>
      </c>
    </row>
    <row r="78" spans="1:3">
      <c r="A78" s="18" t="s">
        <v>79</v>
      </c>
      <c r="B78" s="17">
        <v>6</v>
      </c>
      <c r="C78" s="17">
        <v>7.5</v>
      </c>
    </row>
    <row r="79" spans="1:3">
      <c r="A79" t="s">
        <v>80</v>
      </c>
      <c r="B79">
        <v>5</v>
      </c>
      <c r="C79">
        <v>5.5</v>
      </c>
    </row>
    <row r="80" spans="1:3">
      <c r="A80" s="18" t="s">
        <v>81</v>
      </c>
      <c r="B80" s="17">
        <v>6</v>
      </c>
      <c r="C80" s="17">
        <v>7</v>
      </c>
    </row>
    <row r="81" spans="1:3">
      <c r="A81" s="18" t="s">
        <v>82</v>
      </c>
      <c r="B81" s="17">
        <v>5.5</v>
      </c>
      <c r="C81" s="17">
        <v>6.5</v>
      </c>
    </row>
    <row r="82" spans="1:3">
      <c r="A82" t="s">
        <v>83</v>
      </c>
      <c r="B82">
        <v>5.5</v>
      </c>
      <c r="C82">
        <v>7.5</v>
      </c>
    </row>
    <row r="83" spans="1:3">
      <c r="A83" s="25" t="s">
        <v>84</v>
      </c>
      <c r="B83">
        <v>5.8</v>
      </c>
      <c r="C83">
        <v>7</v>
      </c>
    </row>
    <row r="84" spans="1:3">
      <c r="A84" s="25" t="s">
        <v>85</v>
      </c>
      <c r="B84">
        <v>5.8</v>
      </c>
      <c r="C84">
        <v>7</v>
      </c>
    </row>
    <row r="85" spans="1:3">
      <c r="A85" s="18" t="s">
        <v>86</v>
      </c>
      <c r="B85" s="17">
        <v>6</v>
      </c>
      <c r="C85" s="17">
        <v>7.5</v>
      </c>
    </row>
    <row r="86" spans="1:3">
      <c r="A86" s="18" t="s">
        <v>87</v>
      </c>
      <c r="B86" s="17">
        <v>6</v>
      </c>
      <c r="C86" s="17">
        <v>7.5</v>
      </c>
    </row>
    <row r="87" spans="1:3">
      <c r="A87" t="s">
        <v>88</v>
      </c>
      <c r="B87">
        <v>5.5</v>
      </c>
      <c r="C87">
        <v>7</v>
      </c>
    </row>
    <row r="88" spans="1:3">
      <c r="A88" t="s">
        <v>89</v>
      </c>
      <c r="B88">
        <v>5.5</v>
      </c>
      <c r="C88">
        <v>7</v>
      </c>
    </row>
    <row r="89" spans="1:3">
      <c r="A89" s="18" t="s">
        <v>90</v>
      </c>
      <c r="B89" s="17">
        <v>6</v>
      </c>
      <c r="C89" s="17">
        <v>7.5</v>
      </c>
    </row>
    <row r="90" spans="1:3">
      <c r="A90" s="15" t="s">
        <v>91</v>
      </c>
      <c r="B90" s="15">
        <v>6</v>
      </c>
      <c r="C90" s="15">
        <v>6.8</v>
      </c>
    </row>
    <row r="91" spans="1:3">
      <c r="A91" t="s">
        <v>92</v>
      </c>
      <c r="B91">
        <v>5</v>
      </c>
      <c r="C91">
        <v>6.5</v>
      </c>
    </row>
    <row r="92" spans="1:3">
      <c r="A92" s="21" t="s">
        <v>93</v>
      </c>
      <c r="B92" s="17">
        <v>6</v>
      </c>
      <c r="C92" s="17">
        <v>7.5</v>
      </c>
    </row>
    <row r="93" spans="1:3">
      <c r="A93" s="18" t="s">
        <v>94</v>
      </c>
      <c r="B93" s="17">
        <v>6</v>
      </c>
      <c r="C93" s="17">
        <v>7.5</v>
      </c>
    </row>
    <row r="94" spans="1:3">
      <c r="A94" t="s">
        <v>95</v>
      </c>
      <c r="B94">
        <v>5</v>
      </c>
      <c r="C94">
        <v>8</v>
      </c>
    </row>
    <row r="95" spans="1:3">
      <c r="A95" s="15" t="s">
        <v>96</v>
      </c>
      <c r="B95" s="15">
        <v>6.5</v>
      </c>
      <c r="C95" s="15">
        <v>7.5</v>
      </c>
    </row>
    <row r="96" spans="1:3">
      <c r="A96" t="s">
        <v>97</v>
      </c>
      <c r="B96">
        <v>5</v>
      </c>
      <c r="C96">
        <v>6</v>
      </c>
    </row>
    <row r="97" spans="1:3">
      <c r="A97" s="22" t="s">
        <v>98</v>
      </c>
      <c r="B97" s="22">
        <v>4.5</v>
      </c>
      <c r="C97" s="22">
        <v>5.5</v>
      </c>
    </row>
    <row r="98" spans="1:3">
      <c r="A98" s="18" t="s">
        <v>99</v>
      </c>
      <c r="B98" s="17">
        <v>5</v>
      </c>
      <c r="C98" s="17">
        <v>6.5</v>
      </c>
    </row>
    <row r="99" spans="1:3">
      <c r="A99" s="25" t="s">
        <v>100</v>
      </c>
      <c r="B99">
        <v>5.8</v>
      </c>
      <c r="C99">
        <v>7</v>
      </c>
    </row>
    <row r="100" spans="1:3">
      <c r="A100" t="s">
        <v>101</v>
      </c>
      <c r="B100">
        <v>5</v>
      </c>
      <c r="C100">
        <v>6</v>
      </c>
    </row>
    <row r="101" spans="1:3">
      <c r="A101" t="s">
        <v>102</v>
      </c>
      <c r="B101">
        <v>5.5</v>
      </c>
      <c r="C101">
        <v>7</v>
      </c>
    </row>
    <row r="102" spans="1:3">
      <c r="A102" s="28" t="s">
        <v>103</v>
      </c>
      <c r="B102" s="15">
        <v>6</v>
      </c>
      <c r="C102" s="15">
        <v>7</v>
      </c>
    </row>
    <row r="103" spans="1:3">
      <c r="A103" s="18" t="s">
        <v>104</v>
      </c>
      <c r="B103" s="17">
        <v>5.5</v>
      </c>
      <c r="C103" s="17">
        <v>6</v>
      </c>
    </row>
    <row r="104" spans="1:3">
      <c r="A104" s="18" t="s">
        <v>105</v>
      </c>
      <c r="B104" s="17">
        <v>5.5</v>
      </c>
      <c r="C104" s="17">
        <v>7</v>
      </c>
    </row>
    <row r="105" spans="1:3">
      <c r="A105" s="15" t="s">
        <v>106</v>
      </c>
      <c r="B105" s="15">
        <v>6</v>
      </c>
      <c r="C105" s="15">
        <v>6.5</v>
      </c>
    </row>
    <row r="106" spans="1:3">
      <c r="A106" s="15" t="s">
        <v>107</v>
      </c>
      <c r="B106" s="15">
        <v>6</v>
      </c>
      <c r="C106" s="15">
        <v>7</v>
      </c>
    </row>
    <row r="107" spans="1:3">
      <c r="A107" t="s">
        <v>108</v>
      </c>
      <c r="B107">
        <v>5.5</v>
      </c>
      <c r="C107">
        <v>7</v>
      </c>
    </row>
    <row r="108" spans="1:3">
      <c r="A108" t="s">
        <v>109</v>
      </c>
      <c r="B108">
        <v>5.5</v>
      </c>
      <c r="C108">
        <v>7</v>
      </c>
    </row>
    <row r="109" spans="1:3">
      <c r="A109" t="s">
        <v>110</v>
      </c>
      <c r="B109">
        <v>5.5</v>
      </c>
      <c r="C109">
        <v>7</v>
      </c>
    </row>
    <row r="110" spans="1:3">
      <c r="A110" s="25" t="s">
        <v>111</v>
      </c>
      <c r="B110" s="15">
        <v>6</v>
      </c>
      <c r="C110" s="15">
        <v>6.8</v>
      </c>
    </row>
  </sheetData>
  <autoFilter ref="A1:C1" xr:uid="{EF1CC01C-BF2E-442A-817B-F6A0C0A3903D}">
    <sortState xmlns:xlrd2="http://schemas.microsoft.com/office/spreadsheetml/2017/richdata2" ref="A2:C110">
      <sortCondition ref="A1"/>
    </sortState>
  </autoFilter>
  <conditionalFormatting sqref="F18:G19">
    <cfRule type="duplicateValues" dxfId="42" priority="41"/>
  </conditionalFormatting>
  <conditionalFormatting sqref="A15:A17">
    <cfRule type="duplicateValues" dxfId="41" priority="19"/>
  </conditionalFormatting>
  <conditionalFormatting sqref="A51">
    <cfRule type="duplicateValues" dxfId="40" priority="17"/>
    <cfRule type="duplicateValues" dxfId="39" priority="18"/>
  </conditionalFormatting>
  <conditionalFormatting sqref="A58">
    <cfRule type="duplicateValues" dxfId="38" priority="14"/>
    <cfRule type="duplicateValues" dxfId="37" priority="15"/>
    <cfRule type="duplicateValues" dxfId="36" priority="16"/>
  </conditionalFormatting>
  <conditionalFormatting sqref="A59">
    <cfRule type="duplicateValues" dxfId="35" priority="11"/>
    <cfRule type="duplicateValues" dxfId="34" priority="12"/>
    <cfRule type="duplicateValues" dxfId="33" priority="13"/>
  </conditionalFormatting>
  <conditionalFormatting sqref="A60">
    <cfRule type="duplicateValues" dxfId="32" priority="8"/>
    <cfRule type="duplicateValues" dxfId="31" priority="9"/>
    <cfRule type="duplicateValues" dxfId="30" priority="10"/>
  </conditionalFormatting>
  <conditionalFormatting sqref="A61">
    <cfRule type="duplicateValues" dxfId="29" priority="5"/>
    <cfRule type="duplicateValues" dxfId="28" priority="6"/>
    <cfRule type="duplicateValues" dxfId="27" priority="7"/>
  </conditionalFormatting>
  <conditionalFormatting sqref="A62:A63">
    <cfRule type="duplicateValues" dxfId="26" priority="2"/>
    <cfRule type="duplicateValues" dxfId="25" priority="3"/>
    <cfRule type="duplicateValues" dxfId="24" priority="4"/>
  </conditionalFormatting>
  <conditionalFormatting sqref="A2:A109">
    <cfRule type="duplicateValues" dxfId="2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zoomScaleNormal="100" workbookViewId="0">
      <pane ySplit="1" topLeftCell="A2" activePane="bottomLeft" state="frozen"/>
      <selection pane="bottomLeft" activeCell="H1" sqref="H1:H1048576"/>
    </sheetView>
  </sheetViews>
  <sheetFormatPr defaultColWidth="8.7109375" defaultRowHeight="15"/>
  <cols>
    <col min="1" max="1" width="11" customWidth="1"/>
    <col min="2" max="2" width="42" customWidth="1"/>
    <col min="3" max="4" width="8" customWidth="1"/>
    <col min="5" max="5" width="12" customWidth="1"/>
    <col min="8" max="8" width="22.85546875" bestFit="1" customWidth="1"/>
  </cols>
  <sheetData>
    <row r="1" spans="1:8" ht="15" customHeight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8" ht="15" customHeight="1">
      <c r="A2" s="2">
        <v>1</v>
      </c>
      <c r="B2" s="3" t="s">
        <v>3</v>
      </c>
      <c r="C2" s="3">
        <v>23</v>
      </c>
      <c r="D2" s="3">
        <v>29</v>
      </c>
      <c r="E2" s="3">
        <f>213.96744-39.579185*C2+2.3020512*C2^2</f>
        <v>521.4312698</v>
      </c>
      <c r="H2" s="16"/>
    </row>
    <row r="3" spans="1:8" ht="15" customHeight="1">
      <c r="A3" s="2">
        <v>2</v>
      </c>
      <c r="B3" s="3" t="s">
        <v>4</v>
      </c>
      <c r="C3" s="3">
        <v>19</v>
      </c>
      <c r="D3" s="3">
        <v>25</v>
      </c>
      <c r="E3" s="3">
        <f>213.96744-39.579185*C3+2.3020512*C3^2</f>
        <v>293.00340819999997</v>
      </c>
      <c r="H3" s="18"/>
    </row>
    <row r="4" spans="1:8" ht="15" customHeight="1">
      <c r="A4" s="2">
        <v>3</v>
      </c>
      <c r="B4" s="3" t="s">
        <v>5</v>
      </c>
      <c r="C4" s="3">
        <v>19</v>
      </c>
      <c r="D4" s="3">
        <v>25</v>
      </c>
      <c r="E4" s="3">
        <f>213.96744-39.579185*C4+2.3020512*C4^2</f>
        <v>293.00340819999997</v>
      </c>
    </row>
    <row r="5" spans="1:8" ht="15" customHeight="1">
      <c r="A5" s="2">
        <v>4</v>
      </c>
      <c r="B5" s="3" t="s">
        <v>6</v>
      </c>
      <c r="C5" s="3">
        <v>19</v>
      </c>
      <c r="D5" s="3">
        <v>25</v>
      </c>
      <c r="E5" s="3">
        <f>213.96744-39.579185*C5+2.3020512*C5^2</f>
        <v>293.00340819999997</v>
      </c>
      <c r="H5" s="18"/>
    </row>
    <row r="6" spans="1:8" ht="15" customHeight="1">
      <c r="A6" s="2">
        <v>5</v>
      </c>
      <c r="B6" s="3" t="s">
        <v>7</v>
      </c>
      <c r="C6" s="3">
        <v>19</v>
      </c>
      <c r="D6" s="3">
        <v>25</v>
      </c>
      <c r="E6" s="3">
        <f>213.96744-39.579185*C6+2.3020512*C6^2</f>
        <v>293.00340819999997</v>
      </c>
      <c r="H6" s="18"/>
    </row>
    <row r="7" spans="1:8" ht="15" customHeight="1">
      <c r="A7" s="2">
        <v>6</v>
      </c>
      <c r="B7" s="3" t="s">
        <v>8</v>
      </c>
      <c r="C7" s="3">
        <v>19</v>
      </c>
      <c r="D7" s="3">
        <v>25</v>
      </c>
      <c r="E7" s="3">
        <f>213.96744-39.579185*C7+2.3020512*C7^2</f>
        <v>293.00340819999997</v>
      </c>
    </row>
    <row r="8" spans="1:8" ht="15" customHeight="1">
      <c r="A8" s="2">
        <v>7</v>
      </c>
      <c r="B8" s="3" t="s">
        <v>9</v>
      </c>
      <c r="C8" s="3">
        <v>19</v>
      </c>
      <c r="D8" s="3">
        <v>25</v>
      </c>
      <c r="E8" s="3">
        <f>213.96744-39.579185*C8+2.3020512*C8^2</f>
        <v>293.00340819999997</v>
      </c>
    </row>
    <row r="9" spans="1:8" ht="15" customHeight="1">
      <c r="A9" s="2">
        <v>8</v>
      </c>
      <c r="B9" s="3" t="s">
        <v>10</v>
      </c>
      <c r="C9" s="3">
        <v>19</v>
      </c>
      <c r="D9" s="3">
        <v>25</v>
      </c>
      <c r="E9" s="3">
        <f>213.96744-39.579185*C9+2.3020512*C9^2</f>
        <v>293.00340819999997</v>
      </c>
    </row>
    <row r="10" spans="1:8" ht="15" customHeight="1">
      <c r="A10" s="2">
        <v>9</v>
      </c>
      <c r="B10" s="3" t="s">
        <v>11</v>
      </c>
      <c r="C10" s="3">
        <v>20</v>
      </c>
      <c r="D10" s="3">
        <v>26</v>
      </c>
      <c r="E10" s="3">
        <f>213.96744-39.579185*C10+2.3020512*C10^2</f>
        <v>343.20422000000008</v>
      </c>
      <c r="H10" s="15"/>
    </row>
    <row r="11" spans="1:8" ht="15" customHeight="1">
      <c r="A11" s="2">
        <v>10</v>
      </c>
      <c r="B11" s="3" t="s">
        <v>12</v>
      </c>
      <c r="C11" s="3">
        <v>19</v>
      </c>
      <c r="D11" s="3">
        <v>25</v>
      </c>
      <c r="E11" s="3">
        <f>213.96744-39.579185*C11+2.3020512*C11^2</f>
        <v>293.00340819999997</v>
      </c>
      <c r="H11" s="18"/>
    </row>
    <row r="12" spans="1:8" ht="15" customHeight="1">
      <c r="A12" s="2">
        <v>11</v>
      </c>
      <c r="B12" s="3" t="s">
        <v>13</v>
      </c>
      <c r="C12" s="3">
        <v>19</v>
      </c>
      <c r="D12" s="3">
        <v>25</v>
      </c>
      <c r="E12" s="3">
        <f>213.96744-39.579185*C12+2.3020512*C12^2</f>
        <v>293.00340819999997</v>
      </c>
      <c r="H12" s="25"/>
    </row>
    <row r="13" spans="1:8" ht="15" customHeight="1">
      <c r="A13" s="2">
        <v>12</v>
      </c>
      <c r="B13" s="3" t="s">
        <v>14</v>
      </c>
      <c r="C13" s="3">
        <v>19</v>
      </c>
      <c r="D13" s="3">
        <v>25</v>
      </c>
      <c r="E13" s="3">
        <f>213.96744-39.579185*C13+2.3020512*C13^2</f>
        <v>293.00340819999997</v>
      </c>
      <c r="H13" s="18"/>
    </row>
    <row r="14" spans="1:8" ht="15" customHeight="1">
      <c r="A14" s="2">
        <v>13</v>
      </c>
      <c r="B14" s="3" t="s">
        <v>15</v>
      </c>
      <c r="C14" s="3">
        <v>19</v>
      </c>
      <c r="D14" s="3">
        <v>25</v>
      </c>
      <c r="E14" s="3">
        <f>213.96744-39.579185*C14+2.3020512*C14^2</f>
        <v>293.00340819999997</v>
      </c>
    </row>
    <row r="15" spans="1:8" ht="15" customHeight="1">
      <c r="A15" s="2">
        <v>14</v>
      </c>
      <c r="B15" s="3" t="s">
        <v>16</v>
      </c>
      <c r="C15" s="3">
        <v>19</v>
      </c>
      <c r="D15" s="3">
        <v>6</v>
      </c>
      <c r="E15" s="3">
        <f>213.96744-39.579185*C15+2.3020512*C15^2</f>
        <v>293.00340819999997</v>
      </c>
      <c r="H15" s="27"/>
    </row>
    <row r="16" spans="1:8" ht="15" customHeight="1">
      <c r="A16" s="2">
        <v>15</v>
      </c>
      <c r="B16" s="3" t="s">
        <v>17</v>
      </c>
      <c r="C16" s="3">
        <v>12</v>
      </c>
      <c r="D16" s="3">
        <v>18</v>
      </c>
      <c r="E16" s="3">
        <f>213.96744-39.579185*C16+2.3020512*C16^2</f>
        <v>70.512592799999993</v>
      </c>
      <c r="H16" s="27"/>
    </row>
    <row r="17" spans="1:8" ht="15" customHeight="1">
      <c r="A17" s="2">
        <v>16</v>
      </c>
      <c r="B17" s="3" t="s">
        <v>18</v>
      </c>
      <c r="C17" s="3">
        <v>12</v>
      </c>
      <c r="D17" s="3">
        <v>18</v>
      </c>
      <c r="E17" s="3">
        <f>213.96744-39.579185*C17+2.3020512*C17^2</f>
        <v>70.512592799999993</v>
      </c>
      <c r="H17" s="27"/>
    </row>
    <row r="18" spans="1:8" ht="15" customHeight="1">
      <c r="A18" s="2">
        <v>17</v>
      </c>
      <c r="B18" s="3" t="s">
        <v>19</v>
      </c>
      <c r="C18" s="3">
        <v>19</v>
      </c>
      <c r="D18" s="3">
        <v>25</v>
      </c>
      <c r="E18" s="3">
        <f>213.96744-39.579185*C18+2.3020512*C18^2</f>
        <v>293.00340819999997</v>
      </c>
      <c r="H18" s="18"/>
    </row>
    <row r="19" spans="1:8" ht="15" customHeight="1">
      <c r="A19" s="2">
        <v>18</v>
      </c>
      <c r="B19" s="3" t="s">
        <v>20</v>
      </c>
      <c r="C19" s="3">
        <v>19</v>
      </c>
      <c r="D19" s="3">
        <v>25</v>
      </c>
      <c r="E19" s="3">
        <f>213.96744-39.579185*C19+2.3020512*C19^2</f>
        <v>293.00340819999997</v>
      </c>
      <c r="H19" s="18"/>
    </row>
    <row r="20" spans="1:8" ht="15" customHeight="1">
      <c r="A20" s="2">
        <v>19</v>
      </c>
      <c r="B20" s="3" t="s">
        <v>21</v>
      </c>
      <c r="C20" s="3">
        <v>19</v>
      </c>
      <c r="D20" s="3">
        <v>25</v>
      </c>
      <c r="E20" s="3">
        <f>213.96744-39.579185*C20+2.3020512*C20^2</f>
        <v>293.00340819999997</v>
      </c>
      <c r="H20" s="15"/>
    </row>
    <row r="21" spans="1:8" ht="15" customHeight="1">
      <c r="A21" s="2">
        <v>20</v>
      </c>
      <c r="B21" s="3" t="s">
        <v>22</v>
      </c>
      <c r="C21" s="3">
        <v>19</v>
      </c>
      <c r="D21" s="3">
        <v>25</v>
      </c>
      <c r="E21" s="3">
        <f>213.96744-39.579185*C21+2.3020512*C21^2</f>
        <v>293.00340819999997</v>
      </c>
    </row>
    <row r="22" spans="1:8" ht="15" customHeight="1">
      <c r="A22" s="2">
        <v>21</v>
      </c>
      <c r="B22" s="3" t="s">
        <v>23</v>
      </c>
      <c r="C22" s="3">
        <v>19</v>
      </c>
      <c r="D22" s="3">
        <v>25</v>
      </c>
      <c r="E22" s="3">
        <f>213.96744-39.579185*C22+2.3020512*C22^2</f>
        <v>293.00340819999997</v>
      </c>
      <c r="H22" s="15"/>
    </row>
    <row r="23" spans="1:8" ht="15" customHeight="1">
      <c r="A23" s="2">
        <v>22</v>
      </c>
      <c r="B23" s="3" t="s">
        <v>24</v>
      </c>
      <c r="C23" s="3">
        <v>19</v>
      </c>
      <c r="D23" s="3">
        <v>25</v>
      </c>
      <c r="E23" s="3">
        <f>213.96744-39.579185*C23+2.3020512*C23^2</f>
        <v>293.00340819999997</v>
      </c>
    </row>
    <row r="24" spans="1:8" ht="15" customHeight="1">
      <c r="A24" s="23">
        <v>108</v>
      </c>
      <c r="B24" s="26" t="s">
        <v>25</v>
      </c>
      <c r="C24" s="3">
        <v>19</v>
      </c>
      <c r="D24" s="3">
        <v>25</v>
      </c>
      <c r="E24" s="3">
        <f>213.96744-39.579185*C24+2.3020512*C24^2</f>
        <v>293.00340819999997</v>
      </c>
      <c r="H24" s="17"/>
    </row>
    <row r="25" spans="1:8" ht="15" customHeight="1">
      <c r="A25" s="2">
        <v>23</v>
      </c>
      <c r="B25" s="3" t="s">
        <v>26</v>
      </c>
      <c r="C25" s="3">
        <v>19</v>
      </c>
      <c r="D25" s="3">
        <v>25</v>
      </c>
      <c r="E25" s="3">
        <f>213.96744-39.579185*C25+2.3020512*C25^2</f>
        <v>293.00340819999997</v>
      </c>
      <c r="H25" s="18"/>
    </row>
    <row r="26" spans="1:8" ht="15" customHeight="1">
      <c r="A26" s="2">
        <v>24</v>
      </c>
      <c r="B26" s="3" t="s">
        <v>27</v>
      </c>
      <c r="C26" s="3">
        <v>19</v>
      </c>
      <c r="D26" s="3">
        <v>25</v>
      </c>
      <c r="E26" s="3">
        <f>213.96744-39.579185*C26+2.3020512*C26^2</f>
        <v>293.00340819999997</v>
      </c>
      <c r="H26" s="18"/>
    </row>
    <row r="27" spans="1:8" ht="15" customHeight="1">
      <c r="A27" s="2">
        <v>25</v>
      </c>
      <c r="B27" s="3" t="s">
        <v>28</v>
      </c>
      <c r="C27" s="3">
        <v>19</v>
      </c>
      <c r="D27" s="3">
        <v>25</v>
      </c>
      <c r="E27" s="3">
        <f>213.96744-39.579185*C27+2.3020512*C27^2</f>
        <v>293.00340819999997</v>
      </c>
      <c r="H27" s="18"/>
    </row>
    <row r="28" spans="1:8" ht="15" customHeight="1">
      <c r="A28" s="2">
        <v>26</v>
      </c>
      <c r="B28" s="3" t="s">
        <v>29</v>
      </c>
      <c r="C28" s="3">
        <v>19</v>
      </c>
      <c r="D28" s="3">
        <v>25</v>
      </c>
      <c r="E28" s="3">
        <f>213.96744-39.579185*C28+2.3020512*C28^2</f>
        <v>293.00340819999997</v>
      </c>
      <c r="H28" s="19"/>
    </row>
    <row r="29" spans="1:8" ht="15" customHeight="1">
      <c r="A29" s="2">
        <v>28</v>
      </c>
      <c r="B29" s="3" t="s">
        <v>30</v>
      </c>
      <c r="C29" s="3">
        <v>22</v>
      </c>
      <c r="D29" s="3">
        <v>28</v>
      </c>
      <c r="E29" s="3">
        <f>213.96744-39.579185*C29+2.3020512*C29^2</f>
        <v>457.41815080000003</v>
      </c>
      <c r="H29" s="19"/>
    </row>
    <row r="30" spans="1:8" ht="15" customHeight="1">
      <c r="A30" s="2">
        <v>29</v>
      </c>
      <c r="B30" s="3" t="s">
        <v>31</v>
      </c>
      <c r="C30" s="3">
        <v>19</v>
      </c>
      <c r="D30" s="3">
        <v>25</v>
      </c>
      <c r="E30" s="3">
        <f>213.96744-39.579185*C30+2.3020512*C30^2</f>
        <v>293.00340819999997</v>
      </c>
      <c r="H30" s="15"/>
    </row>
    <row r="31" spans="1:8" ht="15" customHeight="1">
      <c r="A31" s="2">
        <v>32</v>
      </c>
      <c r="B31" s="3" t="s">
        <v>32</v>
      </c>
      <c r="C31" s="3">
        <v>19</v>
      </c>
      <c r="D31" s="3">
        <v>25</v>
      </c>
      <c r="E31" s="3">
        <f>213.96744-39.579185*C31+2.3020512*C31^2</f>
        <v>293.00340819999997</v>
      </c>
      <c r="H31" s="25"/>
    </row>
    <row r="32" spans="1:8" ht="15" customHeight="1">
      <c r="A32" s="2">
        <v>31</v>
      </c>
      <c r="B32" s="3" t="s">
        <v>33</v>
      </c>
      <c r="C32" s="3">
        <v>19</v>
      </c>
      <c r="D32" s="3">
        <v>25</v>
      </c>
      <c r="E32" s="3">
        <f>213.96744-39.579185*C32+2.3020512*C32^2</f>
        <v>293.00340819999997</v>
      </c>
      <c r="H32" s="25"/>
    </row>
    <row r="33" spans="1:8" ht="15" customHeight="1">
      <c r="A33" s="2">
        <v>30</v>
      </c>
      <c r="B33" s="3" t="s">
        <v>34</v>
      </c>
      <c r="C33" s="3">
        <v>16</v>
      </c>
      <c r="D33" s="3">
        <v>22</v>
      </c>
      <c r="E33" s="3">
        <f>213.96744-39.579185*C33+2.3020512*C33^2</f>
        <v>170.02558720000002</v>
      </c>
      <c r="H33" s="25"/>
    </row>
    <row r="34" spans="1:8" ht="15" customHeight="1">
      <c r="A34" s="2">
        <v>33</v>
      </c>
      <c r="B34" s="3" t="s">
        <v>35</v>
      </c>
      <c r="C34" s="3">
        <v>19</v>
      </c>
      <c r="D34" s="3">
        <v>25</v>
      </c>
      <c r="E34" s="3">
        <f>213.96744-39.579185*C34+2.3020512*C34^2</f>
        <v>293.00340819999997</v>
      </c>
      <c r="H34" s="15"/>
    </row>
    <row r="35" spans="1:8" ht="15" customHeight="1">
      <c r="A35" s="2">
        <v>34</v>
      </c>
      <c r="B35" s="3" t="s">
        <v>36</v>
      </c>
      <c r="C35" s="3">
        <v>19</v>
      </c>
      <c r="D35" s="3">
        <v>25</v>
      </c>
      <c r="E35" s="3">
        <f>213.96744-39.579185*C35+2.3020512*C35^2</f>
        <v>293.00340819999997</v>
      </c>
    </row>
    <row r="36" spans="1:8" ht="15" customHeight="1">
      <c r="A36" s="2">
        <v>35</v>
      </c>
      <c r="B36" s="3" t="s">
        <v>37</v>
      </c>
      <c r="C36" s="3">
        <v>19</v>
      </c>
      <c r="D36" s="3">
        <v>25</v>
      </c>
      <c r="E36" s="3">
        <f>213.96744-39.579185*C36+2.3020512*C36^2</f>
        <v>293.00340819999997</v>
      </c>
      <c r="H36" s="18"/>
    </row>
    <row r="37" spans="1:8" ht="15" customHeight="1">
      <c r="A37" s="2">
        <v>36</v>
      </c>
      <c r="B37" s="3" t="s">
        <v>38</v>
      </c>
      <c r="C37" s="3">
        <v>19</v>
      </c>
      <c r="D37" s="3">
        <v>25</v>
      </c>
      <c r="E37" s="3">
        <f>213.96744-39.579185*C37+2.3020512*C37^2</f>
        <v>293.00340819999997</v>
      </c>
    </row>
    <row r="38" spans="1:8" ht="15" customHeight="1">
      <c r="A38" s="2">
        <v>37</v>
      </c>
      <c r="B38" s="3" t="s">
        <v>39</v>
      </c>
      <c r="C38" s="3">
        <v>19</v>
      </c>
      <c r="D38" s="3">
        <v>25</v>
      </c>
      <c r="E38" s="3">
        <f>213.96744-39.579185*C38+2.3020512*C38^2</f>
        <v>293.00340819999997</v>
      </c>
      <c r="H38" s="15"/>
    </row>
    <row r="39" spans="1:8" ht="15" customHeight="1">
      <c r="A39" s="23">
        <v>109</v>
      </c>
      <c r="B39" s="26" t="s">
        <v>40</v>
      </c>
      <c r="C39" s="26">
        <v>19</v>
      </c>
      <c r="D39" s="26">
        <v>25</v>
      </c>
      <c r="E39" s="26">
        <v>293.00340819999997</v>
      </c>
      <c r="H39" s="18"/>
    </row>
    <row r="40" spans="1:8" ht="15" customHeight="1">
      <c r="A40" s="2">
        <v>38</v>
      </c>
      <c r="B40" s="3" t="s">
        <v>41</v>
      </c>
      <c r="C40" s="3">
        <v>19</v>
      </c>
      <c r="D40" s="3">
        <v>25</v>
      </c>
      <c r="E40" s="3">
        <f>213.96744-39.579185*C40+2.3020512*C40^2</f>
        <v>293.00340819999997</v>
      </c>
      <c r="H40" s="15"/>
    </row>
    <row r="41" spans="1:8" ht="15" customHeight="1">
      <c r="A41" s="2">
        <v>39</v>
      </c>
      <c r="B41" s="3" t="s">
        <v>42</v>
      </c>
      <c r="C41" s="3">
        <v>12</v>
      </c>
      <c r="D41" s="3">
        <v>18</v>
      </c>
      <c r="E41" s="3">
        <f>213.96744-39.579185*C41+2.3020512*C41^2</f>
        <v>70.512592799999993</v>
      </c>
      <c r="H41" s="25"/>
    </row>
    <row r="42" spans="1:8" ht="15" customHeight="1">
      <c r="A42" s="2">
        <v>40</v>
      </c>
      <c r="B42" s="3" t="s">
        <v>43</v>
      </c>
      <c r="C42" s="3">
        <v>19</v>
      </c>
      <c r="D42" s="3">
        <v>25</v>
      </c>
      <c r="E42" s="3">
        <f>213.96744-39.579185*C42+2.3020512*C42^2</f>
        <v>293.00340819999997</v>
      </c>
      <c r="H42" s="15"/>
    </row>
    <row r="43" spans="1:8" ht="15" customHeight="1">
      <c r="A43" s="2">
        <v>41</v>
      </c>
      <c r="B43" s="3" t="s">
        <v>44</v>
      </c>
      <c r="C43" s="3">
        <v>19</v>
      </c>
      <c r="D43" s="3">
        <v>25</v>
      </c>
      <c r="E43" s="3">
        <f>213.96744-39.579185*C43+2.3020512*C43^2</f>
        <v>293.00340819999997</v>
      </c>
      <c r="H43" s="18"/>
    </row>
    <row r="44" spans="1:8" ht="15" customHeight="1">
      <c r="A44" s="2">
        <v>42</v>
      </c>
      <c r="B44" s="3" t="s">
        <v>45</v>
      </c>
      <c r="C44" s="3">
        <v>19</v>
      </c>
      <c r="D44" s="3">
        <v>25</v>
      </c>
      <c r="E44" s="3">
        <f>213.96744-39.579185*C44+2.3020512*C44^2</f>
        <v>293.00340819999997</v>
      </c>
      <c r="H44" s="15"/>
    </row>
    <row r="45" spans="1:8" ht="15" customHeight="1">
      <c r="A45" s="2">
        <v>43</v>
      </c>
      <c r="B45" s="3" t="s">
        <v>46</v>
      </c>
      <c r="C45" s="3">
        <v>19</v>
      </c>
      <c r="D45" s="3">
        <v>25</v>
      </c>
      <c r="E45" s="3">
        <f>213.96744-39.579185*C45+2.3020512*C45^2</f>
        <v>293.00340819999997</v>
      </c>
    </row>
    <row r="46" spans="1:8" ht="15" customHeight="1">
      <c r="A46" s="2">
        <v>44</v>
      </c>
      <c r="B46" s="3" t="s">
        <v>47</v>
      </c>
      <c r="C46" s="3">
        <v>19</v>
      </c>
      <c r="D46" s="3">
        <v>25</v>
      </c>
      <c r="E46" s="3">
        <f>213.96744-39.579185*C46+2.3020512*C46^2</f>
        <v>293.00340819999997</v>
      </c>
      <c r="H46" s="15"/>
    </row>
    <row r="47" spans="1:8" ht="15" customHeight="1">
      <c r="A47" s="2">
        <v>45</v>
      </c>
      <c r="B47" s="3" t="s">
        <v>48</v>
      </c>
      <c r="C47" s="3">
        <v>19</v>
      </c>
      <c r="D47" s="3">
        <v>25</v>
      </c>
      <c r="E47" s="3">
        <f>213.96744-39.579185*C47+2.3020512*C47^2</f>
        <v>293.00340819999997</v>
      </c>
    </row>
    <row r="48" spans="1:8" ht="15" customHeight="1">
      <c r="A48" s="2">
        <v>105</v>
      </c>
      <c r="B48" s="3" t="s">
        <v>49</v>
      </c>
      <c r="C48" s="3">
        <v>19</v>
      </c>
      <c r="D48" s="3">
        <v>25</v>
      </c>
      <c r="E48" s="3">
        <f>213.96744-39.579185*C48+2.3020512*C48^2</f>
        <v>293.00340819999997</v>
      </c>
      <c r="H48" s="18"/>
    </row>
    <row r="49" spans="1:8" ht="15" customHeight="1">
      <c r="A49" s="2">
        <v>46</v>
      </c>
      <c r="B49" s="3" t="s">
        <v>50</v>
      </c>
      <c r="C49" s="3">
        <v>19</v>
      </c>
      <c r="D49" s="3">
        <v>25</v>
      </c>
      <c r="E49" s="3">
        <f>213.96744-39.579185*C49+2.3020512*C49^2</f>
        <v>293.00340819999997</v>
      </c>
      <c r="H49" s="18"/>
    </row>
    <row r="50" spans="1:8" ht="15" customHeight="1">
      <c r="A50" s="2">
        <v>47</v>
      </c>
      <c r="B50" s="3" t="s">
        <v>51</v>
      </c>
      <c r="C50" s="3">
        <v>12</v>
      </c>
      <c r="D50" s="3">
        <v>18</v>
      </c>
      <c r="E50" s="3">
        <f>213.96744-39.579185*C50+2.3020512*C50^2</f>
        <v>70.512592799999993</v>
      </c>
      <c r="H50" s="18"/>
    </row>
    <row r="51" spans="1:8" ht="15" customHeight="1">
      <c r="A51" s="2">
        <v>48</v>
      </c>
      <c r="B51" s="3" t="s">
        <v>52</v>
      </c>
      <c r="C51" s="3">
        <v>19</v>
      </c>
      <c r="D51" s="3">
        <v>25</v>
      </c>
      <c r="E51" s="3">
        <f>213.96744-39.579185*C51+2.3020512*C51^2</f>
        <v>293.00340819999997</v>
      </c>
      <c r="H51" s="27"/>
    </row>
    <row r="52" spans="1:8" ht="15" customHeight="1">
      <c r="A52" s="2">
        <v>49</v>
      </c>
      <c r="B52" s="3" t="s">
        <v>53</v>
      </c>
      <c r="C52" s="3">
        <v>19</v>
      </c>
      <c r="D52" s="3">
        <v>25</v>
      </c>
      <c r="E52" s="3">
        <f>213.96744-39.579185*C52+2.3020512*C52^2</f>
        <v>293.00340819999997</v>
      </c>
      <c r="H52" s="15"/>
    </row>
    <row r="53" spans="1:8" ht="15" customHeight="1">
      <c r="A53" s="2">
        <v>50</v>
      </c>
      <c r="B53" s="3" t="s">
        <v>54</v>
      </c>
      <c r="C53" s="3">
        <v>19</v>
      </c>
      <c r="D53" s="3">
        <v>25</v>
      </c>
      <c r="E53" s="3">
        <f>213.96744-39.579185*C53+2.3020512*C53^2</f>
        <v>293.00340819999997</v>
      </c>
    </row>
    <row r="54" spans="1:8" ht="15" customHeight="1">
      <c r="A54" s="2">
        <v>51</v>
      </c>
      <c r="B54" s="3" t="s">
        <v>55</v>
      </c>
      <c r="C54" s="3">
        <v>19</v>
      </c>
      <c r="D54" s="3">
        <v>25</v>
      </c>
      <c r="E54" s="3">
        <f>213.96744-39.579185*C54+2.3020512*C54^2</f>
        <v>293.00340819999997</v>
      </c>
      <c r="H54" s="18"/>
    </row>
    <row r="55" spans="1:8" ht="15" customHeight="1">
      <c r="A55" s="2">
        <v>52</v>
      </c>
      <c r="B55" s="3" t="s">
        <v>56</v>
      </c>
      <c r="C55" s="3">
        <v>19</v>
      </c>
      <c r="D55" s="3">
        <v>25</v>
      </c>
      <c r="E55" s="3">
        <f>213.96744-39.579185*C55+2.3020512*C55^2</f>
        <v>293.00340819999997</v>
      </c>
      <c r="H55" s="18"/>
    </row>
    <row r="56" spans="1:8" ht="15" customHeight="1">
      <c r="A56" s="2">
        <v>53</v>
      </c>
      <c r="B56" s="3" t="s">
        <v>57</v>
      </c>
      <c r="C56" s="3">
        <v>19</v>
      </c>
      <c r="D56" s="3">
        <v>6</v>
      </c>
      <c r="E56" s="3">
        <f>213.96744-39.579185*C56+2.3020512*C56^2</f>
        <v>293.00340819999997</v>
      </c>
      <c r="H56" s="15"/>
    </row>
    <row r="57" spans="1:8" ht="15" customHeight="1">
      <c r="A57" s="2">
        <v>54</v>
      </c>
      <c r="B57" s="3" t="s">
        <v>58</v>
      </c>
      <c r="C57" s="3">
        <v>19</v>
      </c>
      <c r="D57" s="3">
        <v>25</v>
      </c>
      <c r="E57" s="3">
        <f>213.96744-39.579185*C57+2.3020512*C57^2</f>
        <v>293.00340819999997</v>
      </c>
      <c r="H57" s="18"/>
    </row>
    <row r="58" spans="1:8" ht="15" customHeight="1">
      <c r="A58" s="2">
        <v>104</v>
      </c>
      <c r="B58" s="3" t="s">
        <v>60</v>
      </c>
      <c r="C58" s="3">
        <v>19</v>
      </c>
      <c r="D58" s="3">
        <v>25</v>
      </c>
      <c r="E58" s="3">
        <f>213.96744-39.579185*C58+2.3020512*C58^2</f>
        <v>293.00340819999997</v>
      </c>
      <c r="H58" s="27"/>
    </row>
    <row r="59" spans="1:8" ht="15" customHeight="1">
      <c r="A59" s="2">
        <v>106</v>
      </c>
      <c r="B59" s="3" t="s">
        <v>59</v>
      </c>
      <c r="C59" s="3">
        <v>19</v>
      </c>
      <c r="D59" s="3">
        <v>25</v>
      </c>
      <c r="E59" s="3">
        <f>213.96744-39.579185*C59+2.3020512*C59^2</f>
        <v>293.00340819999997</v>
      </c>
      <c r="H59" s="27"/>
    </row>
    <row r="60" spans="1:8" ht="15" customHeight="1">
      <c r="A60" s="2">
        <v>55</v>
      </c>
      <c r="B60" s="3" t="s">
        <v>61</v>
      </c>
      <c r="C60" s="3">
        <v>19</v>
      </c>
      <c r="D60" s="3">
        <v>25</v>
      </c>
      <c r="E60" s="3">
        <f>213.96744-39.579185*C60+2.3020512*C60^2</f>
        <v>293.00340819999997</v>
      </c>
      <c r="H60" s="26"/>
    </row>
    <row r="61" spans="1:8" ht="15" customHeight="1">
      <c r="A61" s="2">
        <v>56</v>
      </c>
      <c r="B61" s="3" t="s">
        <v>62</v>
      </c>
      <c r="C61" s="3">
        <v>19</v>
      </c>
      <c r="D61" s="3">
        <v>25</v>
      </c>
      <c r="E61" s="3">
        <f>213.96744-39.579185*C61+2.3020512*C61^2</f>
        <v>293.00340819999997</v>
      </c>
      <c r="H61" s="29"/>
    </row>
    <row r="62" spans="1:8" ht="15" customHeight="1">
      <c r="A62" s="2">
        <v>57</v>
      </c>
      <c r="B62" s="3" t="s">
        <v>63</v>
      </c>
      <c r="C62" s="3">
        <v>19</v>
      </c>
      <c r="D62" s="3">
        <v>25</v>
      </c>
      <c r="E62" s="3">
        <f>213.96744-39.579185*C62+2.3020512*C62^2</f>
        <v>293.00340819999997</v>
      </c>
      <c r="H62" s="26"/>
    </row>
    <row r="63" spans="1:8" ht="15" customHeight="1">
      <c r="A63" s="2">
        <v>58</v>
      </c>
      <c r="B63" s="3" t="s">
        <v>64</v>
      </c>
      <c r="C63" s="3">
        <v>19</v>
      </c>
      <c r="D63" s="3">
        <v>25</v>
      </c>
      <c r="E63" s="3">
        <f>213.96744-39.579185*C63+2.3020512*C63^2</f>
        <v>293.00340819999997</v>
      </c>
      <c r="H63" s="26"/>
    </row>
    <row r="64" spans="1:8" ht="15" customHeight="1">
      <c r="A64" s="2">
        <v>59</v>
      </c>
      <c r="B64" s="3" t="s">
        <v>65</v>
      </c>
      <c r="C64" s="3">
        <v>20</v>
      </c>
      <c r="D64" s="3">
        <v>26</v>
      </c>
      <c r="E64" s="3">
        <f>213.96744-39.579185*C64+2.3020512*C64^2</f>
        <v>343.20422000000008</v>
      </c>
      <c r="H64" s="25"/>
    </row>
    <row r="65" spans="1:8" ht="15" customHeight="1">
      <c r="A65" s="2">
        <v>60</v>
      </c>
      <c r="B65" s="3" t="s">
        <v>66</v>
      </c>
      <c r="C65" s="3">
        <v>19</v>
      </c>
      <c r="D65" s="3">
        <v>25</v>
      </c>
      <c r="E65" s="3">
        <f>213.96744-39.579185*C65+2.3020512*C65^2</f>
        <v>293.00340819999997</v>
      </c>
    </row>
    <row r="66" spans="1:8" ht="15" customHeight="1">
      <c r="A66" s="2">
        <v>61</v>
      </c>
      <c r="B66" s="3" t="s">
        <v>67</v>
      </c>
      <c r="C66" s="3">
        <v>19</v>
      </c>
      <c r="D66" s="3">
        <v>25</v>
      </c>
      <c r="E66" s="3">
        <f>213.96744-39.579185*C66+2.3020512*C66^2</f>
        <v>293.00340819999997</v>
      </c>
    </row>
    <row r="67" spans="1:8" ht="15" customHeight="1">
      <c r="A67" s="2">
        <v>62</v>
      </c>
      <c r="B67" s="3" t="s">
        <v>68</v>
      </c>
      <c r="C67" s="3">
        <v>19</v>
      </c>
      <c r="D67" s="3">
        <v>25</v>
      </c>
      <c r="E67" s="3">
        <f>213.96744-39.579185*C67+2.3020512*C67^2</f>
        <v>293.00340819999997</v>
      </c>
    </row>
    <row r="68" spans="1:8" ht="15" customHeight="1">
      <c r="A68" s="2">
        <v>63</v>
      </c>
      <c r="B68" s="3" t="s">
        <v>69</v>
      </c>
      <c r="C68" s="3">
        <v>19</v>
      </c>
      <c r="D68" s="3">
        <v>25</v>
      </c>
      <c r="E68" s="3">
        <f>213.96744-39.579185*C68+2.3020512*C68^2</f>
        <v>293.00340819999997</v>
      </c>
      <c r="H68" s="15"/>
    </row>
    <row r="69" spans="1:8" ht="15" customHeight="1">
      <c r="A69" s="2">
        <v>64</v>
      </c>
      <c r="B69" s="3" t="s">
        <v>70</v>
      </c>
      <c r="C69" s="3">
        <v>19</v>
      </c>
      <c r="D69" s="3">
        <v>25</v>
      </c>
      <c r="E69" s="3">
        <f>213.96744-39.579185*C69+2.3020512*C69^2</f>
        <v>293.00340819999997</v>
      </c>
      <c r="H69" s="18"/>
    </row>
    <row r="70" spans="1:8" ht="15" customHeight="1">
      <c r="A70" s="2">
        <v>65</v>
      </c>
      <c r="B70" s="3" t="s">
        <v>71</v>
      </c>
      <c r="C70" s="3">
        <v>19</v>
      </c>
      <c r="D70" s="3">
        <v>25</v>
      </c>
      <c r="E70" s="3">
        <f>213.96744-39.579185*C70+2.3020512*C70^2</f>
        <v>293.00340819999997</v>
      </c>
      <c r="H70" s="18"/>
    </row>
    <row r="71" spans="1:8" ht="15" customHeight="1">
      <c r="A71" s="2">
        <v>66</v>
      </c>
      <c r="B71" s="3" t="s">
        <v>72</v>
      </c>
      <c r="C71" s="3">
        <v>19</v>
      </c>
      <c r="D71" s="3">
        <v>25</v>
      </c>
      <c r="E71" s="3">
        <f>213.96744-39.579185*C71+2.3020512*C71^2</f>
        <v>293.00340819999997</v>
      </c>
      <c r="H71" s="15"/>
    </row>
    <row r="72" spans="1:8" ht="15" customHeight="1">
      <c r="A72" s="2">
        <v>67</v>
      </c>
      <c r="B72" s="3" t="s">
        <v>73</v>
      </c>
      <c r="C72" s="3">
        <v>19</v>
      </c>
      <c r="D72" s="3">
        <v>25</v>
      </c>
      <c r="E72" s="3">
        <f>213.96744-39.579185*C72+2.3020512*C72^2</f>
        <v>293.00340819999997</v>
      </c>
      <c r="H72" s="18"/>
    </row>
    <row r="73" spans="1:8" ht="15" customHeight="1">
      <c r="A73" s="2">
        <v>103</v>
      </c>
      <c r="B73" s="3" t="s">
        <v>74</v>
      </c>
      <c r="C73" s="3">
        <v>19</v>
      </c>
      <c r="D73" s="3">
        <v>25</v>
      </c>
      <c r="E73" s="3">
        <f>213.96744-39.579185*C73+2.3020512*C73^2</f>
        <v>293.00340819999997</v>
      </c>
      <c r="H73" s="18"/>
    </row>
    <row r="74" spans="1:8" ht="15" customHeight="1">
      <c r="A74" s="2">
        <v>68</v>
      </c>
      <c r="B74" s="3" t="s">
        <v>75</v>
      </c>
      <c r="C74" s="3">
        <v>19</v>
      </c>
      <c r="D74" s="3">
        <v>25</v>
      </c>
      <c r="E74" s="3">
        <f>213.96744-39.579185*C74+2.3020512*C74^2</f>
        <v>293.00340819999997</v>
      </c>
      <c r="H74" s="18"/>
    </row>
    <row r="75" spans="1:8" ht="15" customHeight="1">
      <c r="A75" s="2">
        <v>69</v>
      </c>
      <c r="B75" s="3" t="s">
        <v>76</v>
      </c>
      <c r="C75" s="3">
        <v>19</v>
      </c>
      <c r="D75" s="3">
        <v>25</v>
      </c>
      <c r="E75" s="3">
        <f>213.96744-39.579185*C75+2.3020512*C75^2</f>
        <v>293.00340819999997</v>
      </c>
      <c r="H75" s="15"/>
    </row>
    <row r="76" spans="1:8" ht="15" customHeight="1">
      <c r="A76" s="2">
        <v>70</v>
      </c>
      <c r="B76" s="3" t="s">
        <v>77</v>
      </c>
      <c r="C76" s="3">
        <v>19</v>
      </c>
      <c r="D76" s="3">
        <v>25</v>
      </c>
      <c r="E76" s="3">
        <f>213.96744-39.579185*C76+2.3020512*C76^2</f>
        <v>293.00340819999997</v>
      </c>
    </row>
    <row r="77" spans="1:8" ht="15" customHeight="1">
      <c r="A77" s="2">
        <v>71</v>
      </c>
      <c r="B77" s="3" t="s">
        <v>78</v>
      </c>
      <c r="C77" s="3">
        <v>19</v>
      </c>
      <c r="D77" s="3">
        <v>25</v>
      </c>
      <c r="E77" s="3">
        <f>213.96744-39.579185*C77+2.3020512*C77^2</f>
        <v>293.00340819999997</v>
      </c>
      <c r="H77" s="18"/>
    </row>
    <row r="78" spans="1:8" ht="15" customHeight="1">
      <c r="A78" s="2">
        <v>72</v>
      </c>
      <c r="B78" s="3" t="s">
        <v>79</v>
      </c>
      <c r="C78" s="3">
        <v>19</v>
      </c>
      <c r="D78" s="3">
        <v>25</v>
      </c>
      <c r="E78" s="3">
        <f>213.96744-39.579185*C78+2.3020512*C78^2</f>
        <v>293.00340819999997</v>
      </c>
      <c r="H78" s="18"/>
    </row>
    <row r="79" spans="1:8" ht="15" customHeight="1">
      <c r="A79" s="2">
        <v>73</v>
      </c>
      <c r="B79" s="3" t="s">
        <v>80</v>
      </c>
      <c r="C79" s="3">
        <v>19</v>
      </c>
      <c r="D79" s="3">
        <v>25</v>
      </c>
      <c r="E79" s="3">
        <f>213.96744-39.579185*C79+2.3020512*C79^2</f>
        <v>293.00340819999997</v>
      </c>
    </row>
    <row r="80" spans="1:8" ht="15" customHeight="1">
      <c r="A80" s="2">
        <v>74</v>
      </c>
      <c r="B80" s="3" t="s">
        <v>81</v>
      </c>
      <c r="C80" s="3">
        <v>19</v>
      </c>
      <c r="D80" s="3">
        <v>25</v>
      </c>
      <c r="E80" s="3">
        <f>213.96744-39.579185*C80+2.3020512*C80^2</f>
        <v>293.00340819999997</v>
      </c>
      <c r="H80" s="18"/>
    </row>
    <row r="81" spans="1:8" ht="15" customHeight="1">
      <c r="A81" s="2">
        <v>75</v>
      </c>
      <c r="B81" s="3" t="s">
        <v>82</v>
      </c>
      <c r="C81" s="3">
        <v>19</v>
      </c>
      <c r="D81" s="3">
        <v>25</v>
      </c>
      <c r="E81" s="3">
        <f>213.96744-39.579185*C81+2.3020512*C81^2</f>
        <v>293.00340819999997</v>
      </c>
      <c r="H81" s="18"/>
    </row>
    <row r="82" spans="1:8" ht="15" customHeight="1">
      <c r="A82" s="2">
        <v>76</v>
      </c>
      <c r="B82" s="3" t="s">
        <v>83</v>
      </c>
      <c r="C82" s="3">
        <v>19</v>
      </c>
      <c r="D82" s="3">
        <v>25</v>
      </c>
      <c r="E82" s="3">
        <f>213.96744-39.579185*C82+2.3020512*C82^2</f>
        <v>293.00340819999997</v>
      </c>
    </row>
    <row r="83" spans="1:8" ht="15" customHeight="1">
      <c r="A83" s="2">
        <v>77</v>
      </c>
      <c r="B83" s="3" t="s">
        <v>84</v>
      </c>
      <c r="C83" s="3">
        <v>19</v>
      </c>
      <c r="D83" s="3">
        <v>6</v>
      </c>
      <c r="E83" s="3">
        <f>213.96744-39.579185*C83+2.3020512*C83^2</f>
        <v>293.00340819999997</v>
      </c>
      <c r="H83" s="25"/>
    </row>
    <row r="84" spans="1:8" ht="15" customHeight="1">
      <c r="A84" s="2">
        <v>78</v>
      </c>
      <c r="B84" s="3" t="s">
        <v>85</v>
      </c>
      <c r="C84" s="3">
        <v>19</v>
      </c>
      <c r="D84" s="3">
        <v>25</v>
      </c>
      <c r="E84" s="3">
        <f>213.96744-39.579185*C84+2.3020512*C84^2</f>
        <v>293.00340819999997</v>
      </c>
      <c r="H84" s="25"/>
    </row>
    <row r="85" spans="1:8" ht="15" customHeight="1">
      <c r="A85" s="2">
        <v>79</v>
      </c>
      <c r="B85" s="3" t="s">
        <v>86</v>
      </c>
      <c r="C85" s="3">
        <v>16</v>
      </c>
      <c r="D85" s="3">
        <v>22</v>
      </c>
      <c r="E85" s="3">
        <f>213.96744-39.579185*C85+2.3020512*C85^2</f>
        <v>170.02558720000002</v>
      </c>
      <c r="H85" s="18"/>
    </row>
    <row r="86" spans="1:8" ht="15" customHeight="1">
      <c r="A86" s="2">
        <v>80</v>
      </c>
      <c r="B86" s="3" t="s">
        <v>87</v>
      </c>
      <c r="C86" s="3">
        <v>20</v>
      </c>
      <c r="D86" s="3">
        <v>26</v>
      </c>
      <c r="E86" s="3">
        <f>213.96744-39.579185*C86+2.3020512*C86^2</f>
        <v>343.20422000000008</v>
      </c>
      <c r="H86" s="18"/>
    </row>
    <row r="87" spans="1:8" ht="15" customHeight="1">
      <c r="A87" s="2">
        <v>81</v>
      </c>
      <c r="B87" s="3" t="s">
        <v>88</v>
      </c>
      <c r="C87" s="3">
        <v>19</v>
      </c>
      <c r="D87" s="3">
        <v>25</v>
      </c>
      <c r="E87" s="3">
        <f>213.96744-39.579185*C87+2.3020512*C87^2</f>
        <v>293.00340819999997</v>
      </c>
    </row>
    <row r="88" spans="1:8" ht="15" customHeight="1">
      <c r="A88" s="2">
        <v>82</v>
      </c>
      <c r="B88" s="3" t="s">
        <v>89</v>
      </c>
      <c r="C88" s="3">
        <v>16</v>
      </c>
      <c r="D88" s="3">
        <v>22</v>
      </c>
      <c r="E88" s="3">
        <f>213.96744-39.579185*C88+2.3020512*C88^2</f>
        <v>170.02558720000002</v>
      </c>
    </row>
    <row r="89" spans="1:8" ht="15" customHeight="1">
      <c r="A89" s="2">
        <v>83</v>
      </c>
      <c r="B89" s="3" t="s">
        <v>90</v>
      </c>
      <c r="C89" s="3">
        <v>19</v>
      </c>
      <c r="D89" s="3">
        <v>25</v>
      </c>
      <c r="E89" s="3">
        <f>213.96744-39.579185*C89+2.3020512*C89^2</f>
        <v>293.00340819999997</v>
      </c>
      <c r="H89" s="18"/>
    </row>
    <row r="90" spans="1:8" ht="15" customHeight="1">
      <c r="A90" s="2">
        <v>84</v>
      </c>
      <c r="B90" s="3" t="s">
        <v>91</v>
      </c>
      <c r="C90" s="3">
        <v>19</v>
      </c>
      <c r="D90" s="3">
        <v>25</v>
      </c>
      <c r="E90" s="3">
        <f>213.96744-39.579185*C90+2.3020512*C90^2</f>
        <v>293.00340819999997</v>
      </c>
      <c r="H90" s="15"/>
    </row>
    <row r="91" spans="1:8" ht="15" customHeight="1">
      <c r="A91" s="2">
        <v>85</v>
      </c>
      <c r="B91" s="3" t="s">
        <v>92</v>
      </c>
      <c r="C91" s="3">
        <v>19</v>
      </c>
      <c r="D91" s="3">
        <v>25</v>
      </c>
      <c r="E91" s="3">
        <f>213.96744-39.579185*C91+2.3020512*C91^2</f>
        <v>293.00340819999997</v>
      </c>
    </row>
    <row r="92" spans="1:8" ht="15" customHeight="1">
      <c r="A92" s="2">
        <v>86</v>
      </c>
      <c r="B92" s="3" t="s">
        <v>93</v>
      </c>
      <c r="C92" s="3">
        <v>19</v>
      </c>
      <c r="D92" s="3">
        <v>25</v>
      </c>
      <c r="E92" s="3">
        <f>213.96744-39.579185*C92+2.3020512*C92^2</f>
        <v>293.00340819999997</v>
      </c>
      <c r="H92" s="21"/>
    </row>
    <row r="93" spans="1:8" ht="15" customHeight="1">
      <c r="A93" s="2">
        <v>87</v>
      </c>
      <c r="B93" s="3" t="s">
        <v>94</v>
      </c>
      <c r="C93" s="3">
        <v>19</v>
      </c>
      <c r="D93" s="3">
        <v>25</v>
      </c>
      <c r="E93" s="3">
        <f>213.96744-39.579185*C93+2.3020512*C93^2</f>
        <v>293.00340819999997</v>
      </c>
      <c r="H93" s="18"/>
    </row>
    <row r="94" spans="1:8" ht="15" customHeight="1">
      <c r="A94" s="2">
        <v>88</v>
      </c>
      <c r="B94" s="3" t="s">
        <v>95</v>
      </c>
      <c r="C94" s="3">
        <v>19</v>
      </c>
      <c r="D94" s="3">
        <v>25</v>
      </c>
      <c r="E94" s="3">
        <f>213.96744-39.579185*C94+2.3020512*C94^2</f>
        <v>293.00340819999997</v>
      </c>
    </row>
    <row r="95" spans="1:8" ht="15" customHeight="1">
      <c r="A95" s="2">
        <v>89</v>
      </c>
      <c r="B95" s="3" t="s">
        <v>96</v>
      </c>
      <c r="C95" s="3">
        <v>19</v>
      </c>
      <c r="D95" s="3">
        <v>25</v>
      </c>
      <c r="E95" s="3">
        <f>213.96744-39.579185*C95+2.3020512*C95^2</f>
        <v>293.00340819999997</v>
      </c>
      <c r="H95" s="15"/>
    </row>
    <row r="96" spans="1:8" ht="15" customHeight="1">
      <c r="A96" s="23">
        <v>90</v>
      </c>
      <c r="B96" s="3" t="s">
        <v>97</v>
      </c>
      <c r="C96" s="3">
        <v>19</v>
      </c>
      <c r="D96" s="3">
        <v>25</v>
      </c>
      <c r="E96" s="3">
        <f>213.96744-39.579185*C96+2.3020512*C96^2</f>
        <v>293.00340819999997</v>
      </c>
    </row>
    <row r="97" spans="1:8" ht="15" customHeight="1">
      <c r="A97" s="23">
        <v>110</v>
      </c>
      <c r="B97" s="26" t="s">
        <v>98</v>
      </c>
      <c r="C97" s="3">
        <v>19</v>
      </c>
      <c r="D97" s="3">
        <v>25</v>
      </c>
      <c r="E97" s="3">
        <f>213.96744-39.579185*C97+2.3020512*C97^2</f>
        <v>293.00340819999997</v>
      </c>
      <c r="H97" s="22"/>
    </row>
    <row r="98" spans="1:8" ht="15" customHeight="1">
      <c r="A98" s="23">
        <v>107</v>
      </c>
      <c r="B98" s="24" t="s">
        <v>99</v>
      </c>
      <c r="C98" s="3">
        <v>21</v>
      </c>
      <c r="D98" s="3">
        <v>27</v>
      </c>
      <c r="E98" s="3">
        <f>213.96744-39.579185*C98+2.3020512*C98^2</f>
        <v>398.00913420000006</v>
      </c>
      <c r="H98" s="18"/>
    </row>
    <row r="99" spans="1:8" ht="15" customHeight="1">
      <c r="A99" s="2">
        <v>91</v>
      </c>
      <c r="B99" s="3" t="s">
        <v>100</v>
      </c>
      <c r="C99" s="3">
        <v>20</v>
      </c>
      <c r="D99" s="3">
        <v>26</v>
      </c>
      <c r="E99" s="3">
        <f>213.96744-39.579185*C99+2.3020512*C99^2</f>
        <v>343.20422000000008</v>
      </c>
      <c r="H99" s="25"/>
    </row>
    <row r="100" spans="1:8" ht="15" customHeight="1">
      <c r="A100" s="2">
        <v>92</v>
      </c>
      <c r="B100" s="3" t="s">
        <v>101</v>
      </c>
      <c r="C100" s="3">
        <v>19</v>
      </c>
      <c r="D100" s="3">
        <v>25</v>
      </c>
      <c r="E100" s="3">
        <f>213.96744-39.579185*C100+2.3020512*C100^2</f>
        <v>293.00340819999997</v>
      </c>
    </row>
    <row r="101" spans="1:8" ht="15" customHeight="1">
      <c r="A101" s="2">
        <v>93</v>
      </c>
      <c r="B101" s="3" t="s">
        <v>102</v>
      </c>
      <c r="C101" s="3">
        <v>24</v>
      </c>
      <c r="D101" s="3">
        <v>30</v>
      </c>
      <c r="E101" s="3">
        <f>213.96744-39.579185*C101+2.3020512*C101^2</f>
        <v>590.04849120000006</v>
      </c>
    </row>
    <row r="102" spans="1:8" ht="15" customHeight="1">
      <c r="A102" s="2">
        <v>94</v>
      </c>
      <c r="B102" s="3" t="s">
        <v>103</v>
      </c>
      <c r="C102" s="3">
        <v>19</v>
      </c>
      <c r="D102" s="3">
        <v>25</v>
      </c>
      <c r="E102" s="3">
        <f>213.96744-39.579185*C102+2.3020512*C102^2</f>
        <v>293.00340819999997</v>
      </c>
      <c r="H102" s="28"/>
    </row>
    <row r="103" spans="1:8" ht="15" customHeight="1">
      <c r="A103" s="2">
        <v>95</v>
      </c>
      <c r="B103" s="3" t="s">
        <v>104</v>
      </c>
      <c r="C103" s="3">
        <v>19</v>
      </c>
      <c r="D103" s="3">
        <v>25</v>
      </c>
      <c r="E103" s="3">
        <f>213.96744-39.579185*C103+2.3020512*C103^2</f>
        <v>293.00340819999997</v>
      </c>
      <c r="H103" s="18"/>
    </row>
    <row r="104" spans="1:8" ht="15" customHeight="1">
      <c r="A104" s="2">
        <v>96</v>
      </c>
      <c r="B104" s="3" t="s">
        <v>105</v>
      </c>
      <c r="C104" s="3">
        <v>19</v>
      </c>
      <c r="D104" s="3">
        <v>25</v>
      </c>
      <c r="E104" s="3">
        <f>213.96744-39.579185*C104+2.3020512*C104^2</f>
        <v>293.00340819999997</v>
      </c>
      <c r="H104" s="18"/>
    </row>
    <row r="105" spans="1:8" ht="15" customHeight="1">
      <c r="A105" s="2">
        <v>97</v>
      </c>
      <c r="B105" s="3" t="s">
        <v>106</v>
      </c>
      <c r="C105" s="3">
        <v>19</v>
      </c>
      <c r="D105" s="3">
        <v>25</v>
      </c>
      <c r="E105" s="3">
        <f>213.96744-39.579185*C105+2.3020512*C105^2</f>
        <v>293.00340819999997</v>
      </c>
      <c r="H105" s="15"/>
    </row>
    <row r="106" spans="1:8" ht="15" customHeight="1">
      <c r="A106" s="2">
        <v>98</v>
      </c>
      <c r="B106" s="3" t="s">
        <v>107</v>
      </c>
      <c r="C106" s="3">
        <v>19</v>
      </c>
      <c r="D106" s="3">
        <v>25</v>
      </c>
      <c r="E106" s="3">
        <f>213.96744-39.579185*C106+2.3020512*C106^2</f>
        <v>293.00340819999997</v>
      </c>
      <c r="H106" s="15"/>
    </row>
    <row r="107" spans="1:8" ht="15" customHeight="1">
      <c r="A107" s="2">
        <v>99</v>
      </c>
      <c r="B107" s="3" t="s">
        <v>108</v>
      </c>
      <c r="C107" s="3">
        <v>19</v>
      </c>
      <c r="D107" s="3">
        <v>25</v>
      </c>
      <c r="E107" s="3">
        <f>213.96744-39.579185*C107+2.3020512*C107^2</f>
        <v>293.00340819999997</v>
      </c>
    </row>
    <row r="108" spans="1:8">
      <c r="A108" s="2">
        <v>100</v>
      </c>
      <c r="B108" s="25" t="s">
        <v>109</v>
      </c>
      <c r="C108" s="3">
        <v>21</v>
      </c>
      <c r="D108" s="3">
        <v>27</v>
      </c>
      <c r="E108" s="3">
        <f>213.96744-39.579185*C108+2.3020512*C108^2</f>
        <v>398.00913420000006</v>
      </c>
    </row>
    <row r="109" spans="1:8" ht="15" customHeight="1">
      <c r="A109" s="2">
        <v>101</v>
      </c>
      <c r="B109" s="25" t="s">
        <v>110</v>
      </c>
      <c r="C109" s="25">
        <v>21</v>
      </c>
      <c r="D109" s="25">
        <v>27</v>
      </c>
      <c r="E109" s="25">
        <f>213.96744-39.579185*C109+2.3020512*C109^2</f>
        <v>398.00913420000006</v>
      </c>
    </row>
    <row r="110" spans="1:8" ht="15" customHeight="1">
      <c r="A110" s="30">
        <v>102</v>
      </c>
      <c r="B110" s="25" t="s">
        <v>111</v>
      </c>
      <c r="C110" s="3">
        <v>19</v>
      </c>
      <c r="D110" s="3">
        <v>6</v>
      </c>
      <c r="E110" s="3">
        <f>213.96744-39.579185*C110+2.3020512*C110^2</f>
        <v>293.00340819999997</v>
      </c>
      <c r="H110" s="25"/>
    </row>
  </sheetData>
  <autoFilter ref="A1:E110" xr:uid="{00000000-0001-0000-0000-000000000000}">
    <sortState xmlns:xlrd2="http://schemas.microsoft.com/office/spreadsheetml/2017/richdata2" ref="A2:E110">
      <sortCondition ref="B1:B110"/>
    </sortState>
  </autoFilter>
  <conditionalFormatting sqref="B111 B1:B109 B221:B1048576">
    <cfRule type="duplicateValues" dxfId="22" priority="20"/>
  </conditionalFormatting>
  <conditionalFormatting sqref="H15:H17">
    <cfRule type="duplicateValues" dxfId="21" priority="19"/>
  </conditionalFormatting>
  <conditionalFormatting sqref="H51">
    <cfRule type="duplicateValues" dxfId="20" priority="17"/>
    <cfRule type="duplicateValues" dxfId="19" priority="18"/>
  </conditionalFormatting>
  <conditionalFormatting sqref="H58">
    <cfRule type="duplicateValues" dxfId="18" priority="14"/>
    <cfRule type="duplicateValues" dxfId="17" priority="15"/>
    <cfRule type="duplicateValues" dxfId="16" priority="16"/>
  </conditionalFormatting>
  <conditionalFormatting sqref="H59">
    <cfRule type="duplicateValues" dxfId="15" priority="11"/>
    <cfRule type="duplicateValues" dxfId="14" priority="12"/>
    <cfRule type="duplicateValues" dxfId="13" priority="13"/>
  </conditionalFormatting>
  <conditionalFormatting sqref="H60">
    <cfRule type="duplicateValues" dxfId="12" priority="8"/>
    <cfRule type="duplicateValues" dxfId="11" priority="9"/>
    <cfRule type="duplicateValues" dxfId="10" priority="10"/>
  </conditionalFormatting>
  <conditionalFormatting sqref="H61">
    <cfRule type="duplicateValues" dxfId="9" priority="5"/>
    <cfRule type="duplicateValues" dxfId="8" priority="6"/>
    <cfRule type="duplicateValues" dxfId="7" priority="7"/>
  </conditionalFormatting>
  <conditionalFormatting sqref="H62:H63">
    <cfRule type="duplicateValues" dxfId="6" priority="2"/>
    <cfRule type="duplicateValues" dxfId="5" priority="3"/>
    <cfRule type="duplicateValues" dxfId="4" priority="4"/>
  </conditionalFormatting>
  <conditionalFormatting sqref="B111 B1:B109 B221:B1048576 H2:H109">
    <cfRule type="duplicateValues" dxfId="3" priority="1"/>
  </conditionalFormatting>
  <conditionalFormatting sqref="B221:B1048576 I12 B1:B109">
    <cfRule type="duplicateValues" dxfId="2" priority="45"/>
  </conditionalFormatting>
  <conditionalFormatting sqref="B221:B1048576 I12 B1:B109">
    <cfRule type="duplicateValues" dxfId="1" priority="54"/>
    <cfRule type="duplicateValues" dxfId="0" priority="55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zoomScaleNormal="100" workbookViewId="0">
      <pane ySplit="1" topLeftCell="A2" activePane="bottomLeft" state="frozen"/>
      <selection pane="bottomLeft" activeCell="F7" sqref="F7"/>
    </sheetView>
  </sheetViews>
  <sheetFormatPr defaultColWidth="8.7109375" defaultRowHeight="15"/>
  <cols>
    <col min="1" max="1" width="13" customWidth="1"/>
    <col min="2" max="2" width="17" customWidth="1"/>
    <col min="3" max="3" width="15.7109375" bestFit="1" customWidth="1"/>
  </cols>
  <sheetData>
    <row r="1" spans="1:3" ht="15" customHeight="1">
      <c r="A1" s="1" t="s">
        <v>117</v>
      </c>
      <c r="B1" s="1" t="s">
        <v>118</v>
      </c>
      <c r="C1" s="1" t="s">
        <v>119</v>
      </c>
    </row>
    <row r="2" spans="1:3" ht="15" customHeight="1">
      <c r="A2" s="2">
        <v>1</v>
      </c>
      <c r="B2" s="3">
        <v>1</v>
      </c>
      <c r="C2" s="3">
        <v>2</v>
      </c>
    </row>
    <row r="3" spans="1:3" ht="15" customHeight="1">
      <c r="A3" s="2">
        <v>1</v>
      </c>
      <c r="B3" s="3">
        <v>2</v>
      </c>
      <c r="C3" s="3">
        <v>1.4</v>
      </c>
    </row>
    <row r="4" spans="1:3" ht="15" customHeight="1">
      <c r="A4" s="2">
        <v>1</v>
      </c>
      <c r="B4" s="3">
        <v>3</v>
      </c>
      <c r="C4" s="3">
        <v>1.35</v>
      </c>
    </row>
    <row r="5" spans="1:3" ht="15" customHeight="1">
      <c r="A5" s="2">
        <v>2</v>
      </c>
      <c r="B5" s="3">
        <v>1</v>
      </c>
      <c r="C5" s="3">
        <v>1</v>
      </c>
    </row>
    <row r="6" spans="1:3" ht="15" customHeight="1">
      <c r="A6" s="2">
        <v>2</v>
      </c>
      <c r="B6" s="3">
        <v>2</v>
      </c>
      <c r="C6" s="3">
        <v>1</v>
      </c>
    </row>
    <row r="7" spans="1:3" ht="15" customHeight="1">
      <c r="A7" s="2">
        <v>2</v>
      </c>
      <c r="B7" s="3">
        <v>3</v>
      </c>
      <c r="C7" s="3">
        <v>1</v>
      </c>
    </row>
    <row r="8" spans="1:3" ht="15" customHeight="1">
      <c r="A8" s="2">
        <v>3</v>
      </c>
      <c r="B8" s="3">
        <v>1</v>
      </c>
      <c r="C8" s="3">
        <v>1.8</v>
      </c>
    </row>
    <row r="9" spans="1:3" ht="15" customHeight="1">
      <c r="A9" s="2">
        <v>3</v>
      </c>
      <c r="B9" s="3">
        <v>2</v>
      </c>
      <c r="C9" s="3">
        <v>0.66</v>
      </c>
    </row>
    <row r="10" spans="1:3" ht="15" customHeight="1">
      <c r="A10" s="2">
        <v>3</v>
      </c>
      <c r="B10" s="3">
        <v>3</v>
      </c>
      <c r="C10" s="3">
        <v>1</v>
      </c>
    </row>
    <row r="11" spans="1:3" ht="15" customHeight="1">
      <c r="A11" s="2">
        <v>4</v>
      </c>
      <c r="B11" s="3">
        <v>1</v>
      </c>
      <c r="C11" s="3">
        <v>2.4</v>
      </c>
    </row>
    <row r="12" spans="1:3" ht="15" customHeight="1">
      <c r="A12" s="2">
        <v>4</v>
      </c>
      <c r="B12" s="3">
        <v>2</v>
      </c>
      <c r="C12" s="3">
        <v>1.8</v>
      </c>
    </row>
    <row r="13" spans="1:3" ht="15" customHeight="1">
      <c r="A13" s="2">
        <v>4</v>
      </c>
      <c r="B13" s="3">
        <v>3</v>
      </c>
      <c r="C13" s="3">
        <v>1.7</v>
      </c>
    </row>
    <row r="14" spans="1:3" ht="15" customHeight="1">
      <c r="A14" s="2">
        <v>5</v>
      </c>
      <c r="B14" s="3">
        <v>1</v>
      </c>
      <c r="C14" s="3">
        <v>2.1</v>
      </c>
    </row>
    <row r="15" spans="1:3" ht="15" customHeight="1">
      <c r="A15" s="2">
        <v>5</v>
      </c>
      <c r="B15" s="3">
        <v>2</v>
      </c>
      <c r="C15" s="3">
        <v>3.1</v>
      </c>
    </row>
    <row r="16" spans="1:3" ht="15" customHeight="1">
      <c r="A16" s="2">
        <v>5</v>
      </c>
      <c r="B16" s="3">
        <v>3</v>
      </c>
      <c r="C16" s="3">
        <v>1.25</v>
      </c>
    </row>
    <row r="17" spans="1:3" ht="15" customHeight="1">
      <c r="A17" s="2">
        <v>6</v>
      </c>
      <c r="B17" s="3">
        <v>1</v>
      </c>
      <c r="C17" s="3">
        <v>2.2999999999999998</v>
      </c>
    </row>
    <row r="18" spans="1:3" ht="15" customHeight="1">
      <c r="A18" s="2">
        <v>6</v>
      </c>
      <c r="B18" s="3">
        <v>2</v>
      </c>
      <c r="C18" s="3">
        <v>3.66</v>
      </c>
    </row>
    <row r="19" spans="1:3" ht="15" customHeight="1">
      <c r="A19" s="2">
        <v>6</v>
      </c>
      <c r="B19" s="3">
        <v>3</v>
      </c>
      <c r="C19" s="3">
        <v>1.5</v>
      </c>
    </row>
    <row r="21" spans="1:3" ht="15" customHeight="1">
      <c r="A21" s="4"/>
    </row>
    <row r="22" spans="1:3" ht="15" customHeight="1">
      <c r="A22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>
      <pane ySplit="1" topLeftCell="A2" activePane="bottomLeft" state="frozen"/>
      <selection pane="bottomLeft" activeCell="B2" sqref="B2"/>
    </sheetView>
  </sheetViews>
  <sheetFormatPr defaultColWidth="8.7109375" defaultRowHeight="15"/>
  <cols>
    <col min="1" max="1" width="17" customWidth="1"/>
    <col min="2" max="2" width="20" customWidth="1"/>
    <col min="3" max="3" width="62" customWidth="1"/>
  </cols>
  <sheetData>
    <row r="1" spans="1:3" ht="15" customHeight="1">
      <c r="A1" s="1" t="s">
        <v>118</v>
      </c>
      <c r="B1" s="1" t="s">
        <v>120</v>
      </c>
      <c r="C1" s="1" t="s">
        <v>121</v>
      </c>
    </row>
    <row r="2" spans="1:3" ht="15" customHeight="1">
      <c r="A2" s="2">
        <v>1</v>
      </c>
      <c r="B2" s="3" t="s">
        <v>122</v>
      </c>
      <c r="C2" s="3" t="s">
        <v>123</v>
      </c>
    </row>
    <row r="3" spans="1:3" ht="15" customHeight="1">
      <c r="A3" s="2">
        <v>2</v>
      </c>
      <c r="B3" s="3" t="s">
        <v>124</v>
      </c>
      <c r="C3" s="3" t="s">
        <v>125</v>
      </c>
    </row>
    <row r="4" spans="1:3" ht="15" customHeight="1">
      <c r="A4" s="2">
        <v>3</v>
      </c>
      <c r="B4" s="3" t="s">
        <v>126</v>
      </c>
      <c r="C4" s="3" t="s">
        <v>127</v>
      </c>
    </row>
    <row r="6" spans="1:3" ht="15" customHeight="1">
      <c r="A6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>
      <pane ySplit="1" topLeftCell="A2" activePane="bottomLeft" state="frozen"/>
      <selection pane="bottomLeft" activeCell="A7" sqref="A7:XFD8"/>
    </sheetView>
  </sheetViews>
  <sheetFormatPr defaultColWidth="8.7109375" defaultRowHeight="15"/>
  <cols>
    <col min="1" max="1" width="9" customWidth="1"/>
    <col min="2" max="4" width="12" customWidth="1"/>
  </cols>
  <sheetData>
    <row r="1" spans="1:4" ht="15" customHeight="1">
      <c r="A1" s="1" t="s">
        <v>128</v>
      </c>
      <c r="B1" s="1" t="s">
        <v>120</v>
      </c>
      <c r="C1" s="1" t="s">
        <v>129</v>
      </c>
      <c r="D1" s="1" t="s">
        <v>130</v>
      </c>
    </row>
    <row r="2" spans="1:4" ht="15" customHeight="1">
      <c r="A2" s="2">
        <v>1</v>
      </c>
      <c r="B2" s="3" t="s">
        <v>131</v>
      </c>
      <c r="C2" s="3">
        <v>0.125</v>
      </c>
      <c r="D2" s="3">
        <v>0.25</v>
      </c>
    </row>
    <row r="3" spans="1:4" ht="15" customHeight="1">
      <c r="A3" s="2">
        <v>2</v>
      </c>
      <c r="B3" s="3" t="s">
        <v>132</v>
      </c>
      <c r="C3" s="3">
        <v>2.5000000000000001E-2</v>
      </c>
      <c r="D3" s="3">
        <v>0.05</v>
      </c>
    </row>
    <row r="4" spans="1:4" ht="15" customHeight="1">
      <c r="A4" s="2">
        <v>3</v>
      </c>
      <c r="B4" s="3" t="s">
        <v>133</v>
      </c>
      <c r="C4" s="3">
        <v>1.7500000000000002E-2</v>
      </c>
      <c r="D4" s="3">
        <v>3.5000000000000003E-2</v>
      </c>
    </row>
    <row r="5" spans="1:4" ht="15" customHeight="1">
      <c r="A5" s="2">
        <v>4</v>
      </c>
      <c r="B5" s="3" t="s">
        <v>134</v>
      </c>
      <c r="C5" s="3">
        <v>0.01</v>
      </c>
      <c r="D5" s="3">
        <v>0.02</v>
      </c>
    </row>
    <row r="7" spans="1:4" ht="15" customHeight="1">
      <c r="A7" s="4"/>
    </row>
    <row r="8" spans="1:4" ht="15" customHeight="1">
      <c r="A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>
      <pane ySplit="1" topLeftCell="A2" activePane="bottomLeft" state="frozen"/>
      <selection pane="bottomLeft" activeCell="B6" sqref="B6"/>
    </sheetView>
  </sheetViews>
  <sheetFormatPr defaultColWidth="8.7109375" defaultRowHeight="15"/>
  <cols>
    <col min="1" max="1" width="13" customWidth="1"/>
    <col min="2" max="2" width="70" customWidth="1"/>
    <col min="3" max="4" width="12" customWidth="1"/>
  </cols>
  <sheetData>
    <row r="1" spans="1:4" ht="15" customHeight="1">
      <c r="A1" s="1" t="s">
        <v>135</v>
      </c>
      <c r="B1" s="1" t="s">
        <v>120</v>
      </c>
      <c r="C1" s="1" t="s">
        <v>136</v>
      </c>
      <c r="D1" s="1" t="s">
        <v>137</v>
      </c>
    </row>
    <row r="2" spans="1:4" ht="15" customHeight="1">
      <c r="A2" s="2">
        <v>1</v>
      </c>
      <c r="B2" s="3" t="s">
        <v>138</v>
      </c>
      <c r="C2" s="3">
        <v>0.98</v>
      </c>
      <c r="D2" s="3">
        <v>0.9</v>
      </c>
    </row>
    <row r="3" spans="1:4" ht="15" customHeight="1">
      <c r="A3" s="2">
        <v>2</v>
      </c>
      <c r="B3" s="3" t="s">
        <v>139</v>
      </c>
      <c r="C3" s="3">
        <v>0.99</v>
      </c>
      <c r="D3" s="3">
        <v>1</v>
      </c>
    </row>
    <row r="4" spans="1:4" ht="15" customHeight="1">
      <c r="A4" s="2">
        <v>3</v>
      </c>
      <c r="B4" s="3" t="s">
        <v>140</v>
      </c>
      <c r="C4" s="3">
        <v>1</v>
      </c>
      <c r="D4" s="3">
        <v>1.1000000000000001</v>
      </c>
    </row>
    <row r="5" spans="1:4" ht="15" customHeight="1">
      <c r="A5" s="2">
        <v>4</v>
      </c>
      <c r="B5" s="3" t="s">
        <v>141</v>
      </c>
      <c r="C5" s="3">
        <v>1.01</v>
      </c>
      <c r="D5" s="3">
        <v>1.4</v>
      </c>
    </row>
    <row r="6" spans="1:4" ht="15" customHeight="1">
      <c r="A6" s="2">
        <v>5</v>
      </c>
      <c r="B6" s="3" t="s">
        <v>142</v>
      </c>
      <c r="C6" s="3">
        <v>1.03</v>
      </c>
      <c r="D6" s="3">
        <v>1.6</v>
      </c>
    </row>
    <row r="8" spans="1:4" ht="15" customHeight="1">
      <c r="A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>
      <pane ySplit="1" topLeftCell="A2" activePane="bottomLeft" state="frozen"/>
      <selection pane="bottomLeft" activeCell="A8" sqref="A8:XFD9"/>
    </sheetView>
  </sheetViews>
  <sheetFormatPr defaultColWidth="8.7109375" defaultRowHeight="15"/>
  <cols>
    <col min="1" max="2" width="12" customWidth="1"/>
    <col min="3" max="3" width="21" customWidth="1"/>
    <col min="4" max="4" width="14" customWidth="1"/>
  </cols>
  <sheetData>
    <row r="1" spans="1:4" ht="15" customHeight="1">
      <c r="A1" s="1" t="s">
        <v>143</v>
      </c>
      <c r="B1" s="1" t="s">
        <v>120</v>
      </c>
      <c r="C1" s="1" t="s">
        <v>144</v>
      </c>
      <c r="D1" s="1" t="s">
        <v>145</v>
      </c>
    </row>
    <row r="2" spans="1:4" ht="15" customHeight="1">
      <c r="A2" s="2">
        <v>1</v>
      </c>
      <c r="B2" s="3" t="s">
        <v>146</v>
      </c>
      <c r="C2" s="3">
        <v>160</v>
      </c>
      <c r="D2" s="3">
        <v>110000</v>
      </c>
    </row>
    <row r="3" spans="1:4" ht="15" customHeight="1">
      <c r="A3" s="2">
        <v>2</v>
      </c>
      <c r="B3" s="3" t="s">
        <v>147</v>
      </c>
      <c r="C3" s="3">
        <v>140</v>
      </c>
      <c r="D3" s="3">
        <v>90000</v>
      </c>
    </row>
    <row r="4" spans="1:4" ht="15" customHeight="1">
      <c r="A4" s="2">
        <v>3</v>
      </c>
      <c r="B4" s="3" t="s">
        <v>148</v>
      </c>
      <c r="C4" s="3">
        <v>115</v>
      </c>
      <c r="D4" s="3">
        <v>70000</v>
      </c>
    </row>
    <row r="5" spans="1:4" ht="15" customHeight="1">
      <c r="A5" s="2">
        <v>4</v>
      </c>
      <c r="B5" s="3" t="s">
        <v>149</v>
      </c>
      <c r="C5" s="3">
        <v>85</v>
      </c>
      <c r="D5" s="3">
        <v>35000</v>
      </c>
    </row>
    <row r="6" spans="1:4" ht="15" customHeight="1">
      <c r="A6" s="2">
        <v>5</v>
      </c>
      <c r="B6" s="3" t="s">
        <v>150</v>
      </c>
      <c r="C6" s="3">
        <v>60</v>
      </c>
      <c r="D6" s="3">
        <v>20000</v>
      </c>
    </row>
    <row r="8" spans="1:4" ht="15" customHeight="1">
      <c r="A8" s="4"/>
    </row>
    <row r="9" spans="1:4" ht="15" customHeight="1">
      <c r="A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zoomScaleNormal="100" workbookViewId="0">
      <pane ySplit="1" topLeftCell="A2" activePane="bottomLeft" state="frozen"/>
      <selection pane="bottomLeft" activeCell="A14" sqref="A14:XFD21"/>
    </sheetView>
  </sheetViews>
  <sheetFormatPr defaultColWidth="8.7109375" defaultRowHeight="15"/>
  <cols>
    <col min="1" max="1" width="16" customWidth="1"/>
    <col min="2" max="2" width="14" customWidth="1"/>
    <col min="3" max="3" width="34" customWidth="1"/>
  </cols>
  <sheetData>
    <row r="1" spans="1:3" ht="15" customHeight="1">
      <c r="A1" s="1" t="s">
        <v>151</v>
      </c>
      <c r="B1" s="1" t="s">
        <v>152</v>
      </c>
      <c r="C1" s="1" t="s">
        <v>153</v>
      </c>
    </row>
    <row r="2" spans="1:3" ht="15" customHeight="1">
      <c r="A2" s="5" t="s">
        <v>154</v>
      </c>
      <c r="B2" s="3">
        <v>9.2499999999999995E-6</v>
      </c>
      <c r="C2" s="3" t="s">
        <v>155</v>
      </c>
    </row>
    <row r="3" spans="1:3" ht="15" customHeight="1">
      <c r="A3" s="5" t="s">
        <v>156</v>
      </c>
      <c r="B3" s="3">
        <v>1</v>
      </c>
      <c r="C3" s="3" t="s">
        <v>157</v>
      </c>
    </row>
    <row r="4" spans="1:3" ht="15" customHeight="1">
      <c r="A4" s="5" t="s">
        <v>158</v>
      </c>
      <c r="B4" s="3">
        <v>3.06</v>
      </c>
      <c r="C4" s="3" t="s">
        <v>159</v>
      </c>
    </row>
    <row r="5" spans="1:3" ht="15" customHeight="1">
      <c r="A5" s="5" t="s">
        <v>160</v>
      </c>
      <c r="B5" s="3">
        <v>1</v>
      </c>
      <c r="C5" s="3" t="s">
        <v>161</v>
      </c>
    </row>
    <row r="6" spans="1:3" ht="15" customHeight="1">
      <c r="A6" s="5" t="s">
        <v>162</v>
      </c>
      <c r="B6" s="3">
        <v>4.5</v>
      </c>
      <c r="C6" s="3" t="s">
        <v>163</v>
      </c>
    </row>
    <row r="7" spans="1:3" ht="15" customHeight="1">
      <c r="A7" s="5" t="s">
        <v>164</v>
      </c>
      <c r="B7" s="3">
        <v>-2</v>
      </c>
      <c r="C7" s="3" t="s">
        <v>165</v>
      </c>
    </row>
    <row r="8" spans="1:3" ht="15" customHeight="1">
      <c r="A8" s="5" t="s">
        <v>166</v>
      </c>
      <c r="B8" s="3">
        <v>213.96744000000001</v>
      </c>
      <c r="C8" s="3" t="s">
        <v>167</v>
      </c>
    </row>
    <row r="9" spans="1:3" ht="15" customHeight="1">
      <c r="A9" s="5" t="s">
        <v>168</v>
      </c>
      <c r="B9" s="3">
        <v>-39.579185000000003</v>
      </c>
      <c r="C9" s="3" t="s">
        <v>169</v>
      </c>
    </row>
    <row r="10" spans="1:3" ht="15" customHeight="1">
      <c r="A10" s="5" t="s">
        <v>170</v>
      </c>
      <c r="B10" s="3">
        <v>2.3020512000000002</v>
      </c>
      <c r="C10" s="3" t="s">
        <v>171</v>
      </c>
    </row>
    <row r="11" spans="1:3" ht="15" customHeight="1">
      <c r="A11" s="5" t="s">
        <v>172</v>
      </c>
      <c r="B11" s="3">
        <v>0</v>
      </c>
      <c r="C11" s="3" t="s">
        <v>173</v>
      </c>
    </row>
    <row r="12" spans="1:3" ht="15" customHeight="1">
      <c r="A12" s="5" t="s">
        <v>174</v>
      </c>
      <c r="B12" s="3">
        <v>1</v>
      </c>
      <c r="C12" s="3" t="s">
        <v>175</v>
      </c>
    </row>
    <row r="14" spans="1:3" ht="15" customHeight="1">
      <c r="A14" s="6"/>
    </row>
    <row r="15" spans="1:3" ht="15" customHeight="1">
      <c r="A15" s="4"/>
    </row>
    <row r="16" spans="1:3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zoomScaleNormal="100" workbookViewId="0">
      <pane ySplit="1" topLeftCell="A2" activePane="bottomLeft" state="frozen"/>
      <selection pane="bottomLeft" activeCell="A8" sqref="A8:XFD10"/>
    </sheetView>
  </sheetViews>
  <sheetFormatPr defaultColWidth="8.7109375" defaultRowHeight="15"/>
  <cols>
    <col min="1" max="1" width="13" customWidth="1"/>
    <col min="2" max="3" width="10" customWidth="1"/>
    <col min="4" max="4" width="8" customWidth="1"/>
    <col min="5" max="6" width="10" customWidth="1"/>
  </cols>
  <sheetData>
    <row r="1" spans="1:6" ht="15" customHeight="1">
      <c r="A1" s="7" t="s">
        <v>135</v>
      </c>
      <c r="B1" s="7" t="s">
        <v>176</v>
      </c>
      <c r="C1" s="7" t="s">
        <v>177</v>
      </c>
      <c r="D1" s="7" t="s">
        <v>116</v>
      </c>
      <c r="E1" s="7" t="s">
        <v>178</v>
      </c>
      <c r="F1" s="7" t="s">
        <v>179</v>
      </c>
    </row>
    <row r="2" spans="1:6" ht="15" customHeight="1">
      <c r="A2" s="8">
        <v>1</v>
      </c>
      <c r="B2" s="3">
        <v>1.39</v>
      </c>
      <c r="C2" s="3">
        <v>1.84</v>
      </c>
      <c r="D2" s="3">
        <v>0.79200000000000004</v>
      </c>
      <c r="E2" s="3">
        <v>321.33999999999997</v>
      </c>
      <c r="F2" s="3">
        <v>-12.99</v>
      </c>
    </row>
    <row r="3" spans="1:6" ht="15" customHeight="1">
      <c r="A3" s="8">
        <v>2</v>
      </c>
      <c r="B3" s="3">
        <v>1.28</v>
      </c>
      <c r="C3" s="3">
        <v>1.73</v>
      </c>
      <c r="D3" s="3">
        <v>0.79400000000000004</v>
      </c>
      <c r="E3" s="3">
        <v>88.025000000000006</v>
      </c>
      <c r="F3" s="3">
        <v>-12.061</v>
      </c>
    </row>
    <row r="4" spans="1:6" ht="15" customHeight="1">
      <c r="A4" s="8">
        <v>3</v>
      </c>
      <c r="B4" s="3">
        <v>1.19</v>
      </c>
      <c r="C4" s="3">
        <v>1.64</v>
      </c>
      <c r="D4" s="3">
        <v>0.79600000000000004</v>
      </c>
      <c r="E4" s="3">
        <v>32.189</v>
      </c>
      <c r="F4" s="3">
        <v>-11.297000000000001</v>
      </c>
    </row>
    <row r="5" spans="1:6" ht="15" customHeight="1">
      <c r="A5" s="8">
        <v>4</v>
      </c>
      <c r="B5" s="3">
        <v>1.1299999999999999</v>
      </c>
      <c r="C5" s="3">
        <v>1.58</v>
      </c>
      <c r="D5" s="3">
        <v>0.79600000000000004</v>
      </c>
      <c r="E5" s="3">
        <v>16.945</v>
      </c>
      <c r="F5" s="3">
        <v>-10.79</v>
      </c>
    </row>
    <row r="6" spans="1:6" ht="15" customHeight="1">
      <c r="A6" s="8">
        <v>5</v>
      </c>
      <c r="B6" s="3">
        <v>1.05</v>
      </c>
      <c r="C6" s="3">
        <v>1.5</v>
      </c>
      <c r="D6" s="3">
        <v>0.79900000000000004</v>
      </c>
      <c r="E6" s="3">
        <v>7.47</v>
      </c>
      <c r="F6" s="3">
        <v>-10.1</v>
      </c>
    </row>
    <row r="8" spans="1:6" ht="15" customHeight="1">
      <c r="A8" s="4"/>
    </row>
    <row r="9" spans="1:6" ht="15" customHeight="1">
      <c r="A9" s="4"/>
    </row>
    <row r="10" spans="1:6" ht="15" customHeight="1">
      <c r="A1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zoomScaleNormal="100" workbookViewId="0">
      <pane ySplit="1" topLeftCell="A2" activePane="bottomLeft" state="frozen"/>
      <selection pane="bottomLeft" activeCell="A7" sqref="A7:XFD8"/>
    </sheetView>
  </sheetViews>
  <sheetFormatPr defaultColWidth="8.7109375" defaultRowHeight="15"/>
  <cols>
    <col min="1" max="1" width="16" customWidth="1"/>
    <col min="2" max="2" width="12" customWidth="1"/>
    <col min="3" max="3" width="10" customWidth="1"/>
  </cols>
  <sheetData>
    <row r="1" spans="1:3" ht="15" customHeight="1">
      <c r="A1" s="7" t="s">
        <v>180</v>
      </c>
      <c r="B1" s="7" t="s">
        <v>181</v>
      </c>
      <c r="C1" s="7" t="s">
        <v>182</v>
      </c>
    </row>
    <row r="2" spans="1:3" ht="15" customHeight="1">
      <c r="A2" s="8">
        <v>0</v>
      </c>
      <c r="B2" s="3">
        <v>0</v>
      </c>
      <c r="C2" s="3">
        <v>0</v>
      </c>
    </row>
    <row r="3" spans="1:3" ht="15" customHeight="1">
      <c r="A3" s="8">
        <v>1</v>
      </c>
      <c r="B3" s="3">
        <v>-0.03</v>
      </c>
      <c r="C3" s="3">
        <v>5.0000000000000001E-4</v>
      </c>
    </row>
    <row r="4" spans="1:3" ht="15" customHeight="1">
      <c r="A4" s="8">
        <v>2</v>
      </c>
      <c r="B4" s="3">
        <v>-0.1</v>
      </c>
      <c r="C4" s="3">
        <v>1E-3</v>
      </c>
    </row>
    <row r="5" spans="1:3" ht="15" customHeight="1">
      <c r="A5" s="8">
        <v>3</v>
      </c>
      <c r="B5" s="3">
        <v>0.02</v>
      </c>
      <c r="C5" s="3">
        <v>0</v>
      </c>
    </row>
    <row r="7" spans="1:3" ht="15" customHeight="1">
      <c r="A7" s="4"/>
    </row>
    <row r="8" spans="1:3" ht="15" customHeight="1">
      <c r="A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zoomScaleNormal="100" workbookViewId="0">
      <pane ySplit="1" topLeftCell="A2" activePane="bottomLeft" state="frozen"/>
      <selection pane="bottomLeft" activeCell="A10" sqref="A10:XFD15"/>
    </sheetView>
  </sheetViews>
  <sheetFormatPr defaultColWidth="8.7109375" defaultRowHeight="15"/>
  <cols>
    <col min="1" max="2" width="14" customWidth="1"/>
    <col min="3" max="3" width="58" customWidth="1"/>
  </cols>
  <sheetData>
    <row r="1" spans="1:3" ht="15" customHeight="1">
      <c r="A1" s="7" t="s">
        <v>151</v>
      </c>
      <c r="B1" s="7" t="s">
        <v>152</v>
      </c>
      <c r="C1" s="7" t="s">
        <v>153</v>
      </c>
    </row>
    <row r="2" spans="1:3" ht="15" customHeight="1">
      <c r="A2" s="9" t="s">
        <v>183</v>
      </c>
      <c r="B2" s="3">
        <v>0.99399999999999999</v>
      </c>
      <c r="C2" s="3" t="s">
        <v>161</v>
      </c>
    </row>
    <row r="3" spans="1:3" ht="15" customHeight="1">
      <c r="A3" s="9" t="s">
        <v>184</v>
      </c>
      <c r="B3" s="3">
        <v>3.6950899999999999E-5</v>
      </c>
      <c r="C3" s="3" t="s">
        <v>185</v>
      </c>
    </row>
    <row r="4" spans="1:3" ht="15" customHeight="1">
      <c r="A4" s="9" t="s">
        <v>186</v>
      </c>
      <c r="B4" s="3">
        <v>11.628251000000001</v>
      </c>
      <c r="C4" s="3" t="s">
        <v>187</v>
      </c>
    </row>
    <row r="5" spans="1:3" ht="15" customHeight="1">
      <c r="A5" s="9" t="s">
        <v>188</v>
      </c>
      <c r="B5" s="3">
        <v>-1.1878</v>
      </c>
      <c r="C5" s="3" t="s">
        <v>189</v>
      </c>
    </row>
    <row r="6" spans="1:3" ht="15" customHeight="1">
      <c r="A6" s="9" t="s">
        <v>190</v>
      </c>
      <c r="B6" s="3">
        <v>-8.4931999999999999</v>
      </c>
      <c r="C6" s="3" t="s">
        <v>191</v>
      </c>
    </row>
    <row r="7" spans="1:3" ht="15" customHeight="1">
      <c r="A7" s="9" t="s">
        <v>172</v>
      </c>
      <c r="B7" s="3">
        <v>0</v>
      </c>
      <c r="C7" s="3" t="s">
        <v>173</v>
      </c>
    </row>
    <row r="8" spans="1:3" ht="15" customHeight="1">
      <c r="A8" s="9" t="s">
        <v>174</v>
      </c>
      <c r="B8" s="3">
        <v>0.99399999999999999</v>
      </c>
      <c r="C8" s="3" t="s">
        <v>192</v>
      </c>
    </row>
    <row r="10" spans="1:3" ht="15" customHeight="1">
      <c r="A10" s="10"/>
    </row>
    <row r="11" spans="1:3" ht="15" customHeight="1">
      <c r="A11" s="4"/>
    </row>
    <row r="12" spans="1:3" ht="15" customHeight="1">
      <c r="A12" s="4"/>
    </row>
    <row r="13" spans="1:3" ht="15" customHeight="1">
      <c r="A13" s="4"/>
    </row>
    <row r="14" spans="1:3" ht="15" customHeight="1">
      <c r="A14" s="4"/>
    </row>
    <row r="15" spans="1:3" ht="15" customHeight="1">
      <c r="A15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zoomScaleNormal="100" workbookViewId="0">
      <pane ySplit="1" topLeftCell="A2" activePane="bottomLeft" state="frozen"/>
      <selection pane="bottomLeft" activeCell="A8" sqref="A8:XFD8"/>
    </sheetView>
  </sheetViews>
  <sheetFormatPr defaultColWidth="8.7109375" defaultRowHeight="15"/>
  <cols>
    <col min="1" max="1" width="13" customWidth="1"/>
    <col min="2" max="2" width="12" customWidth="1"/>
  </cols>
  <sheetData>
    <row r="1" spans="1:2">
      <c r="A1" s="11" t="s">
        <v>135</v>
      </c>
      <c r="B1" s="11" t="s">
        <v>193</v>
      </c>
    </row>
    <row r="2" spans="1:2">
      <c r="A2" s="12">
        <v>1</v>
      </c>
      <c r="B2" s="3" t="s">
        <v>194</v>
      </c>
    </row>
    <row r="3" spans="1:2">
      <c r="A3" s="12">
        <v>2</v>
      </c>
      <c r="B3" s="3" t="s">
        <v>194</v>
      </c>
    </row>
    <row r="4" spans="1:2">
      <c r="A4" s="12">
        <v>3</v>
      </c>
      <c r="B4" s="3" t="s">
        <v>195</v>
      </c>
    </row>
    <row r="5" spans="1:2">
      <c r="A5" s="12">
        <v>4</v>
      </c>
      <c r="B5" s="3" t="s">
        <v>195</v>
      </c>
    </row>
    <row r="6" spans="1:2">
      <c r="A6" s="12">
        <v>5</v>
      </c>
      <c r="B6" s="3" t="s">
        <v>195</v>
      </c>
    </row>
    <row r="8" spans="1:2">
      <c r="A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zoomScaleNormal="100" workbookViewId="0">
      <pane ySplit="1" topLeftCell="A2" activePane="bottomLeft" state="frozen"/>
      <selection pane="bottomLeft" activeCell="D65" sqref="D65"/>
    </sheetView>
  </sheetViews>
  <sheetFormatPr defaultColWidth="8.7109375" defaultRowHeight="15"/>
  <cols>
    <col min="1" max="2" width="12" customWidth="1"/>
    <col min="3" max="3" width="14" customWidth="1"/>
  </cols>
  <sheetData>
    <row r="1" spans="1:3">
      <c r="A1" s="11" t="s">
        <v>193</v>
      </c>
      <c r="B1" s="11" t="s">
        <v>183</v>
      </c>
      <c r="C1" s="11" t="s">
        <v>196</v>
      </c>
    </row>
    <row r="2" spans="1:3">
      <c r="A2" s="12" t="s">
        <v>194</v>
      </c>
      <c r="B2" s="3">
        <v>1.0541326</v>
      </c>
      <c r="C2" s="3">
        <v>-9.8126979999999999E-3</v>
      </c>
    </row>
    <row r="3" spans="1:3">
      <c r="A3" s="12" t="s">
        <v>195</v>
      </c>
      <c r="B3" s="3">
        <v>1.0744899999999999</v>
      </c>
      <c r="C3" s="3">
        <v>-1.3431848999999999E-2</v>
      </c>
    </row>
    <row r="5" spans="1:3">
      <c r="A5" s="13"/>
    </row>
    <row r="6" spans="1:3">
      <c r="A6" s="4"/>
    </row>
    <row r="7" spans="1:3">
      <c r="A7" s="4"/>
    </row>
    <row r="8" spans="1:3">
      <c r="A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779D-EE07-4BAA-A5AD-49FE70D75EA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2026-07-07T16:55:22Z</dcterms:created>
  <dcterms:modified xsi:type="dcterms:W3CDTF">2026-07-27T19:39:01Z</dcterms:modified>
  <cp:category/>
  <cp:contentStatus/>
</cp:coreProperties>
</file>